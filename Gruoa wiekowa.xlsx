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wel\OneDrive\Desktop\TwojKatalog\Proby_samobojcze\"/>
    </mc:Choice>
  </mc:AlternateContent>
  <xr:revisionPtr revIDLastSave="0" documentId="13_ncr:1_{A743B72A-B840-4F8E-AA29-1A6D58A309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ExternalData_1" localSheetId="0" hidden="1">Sheet1!$A$1:$U$145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8" i="1" l="1"/>
  <c r="M148" i="1"/>
  <c r="L148" i="1"/>
  <c r="K148" i="1"/>
  <c r="J148" i="1"/>
  <c r="I148" i="1"/>
  <c r="H148" i="1"/>
  <c r="G148" i="1"/>
  <c r="F148" i="1"/>
  <c r="E148" i="1"/>
  <c r="D148" i="1"/>
  <c r="N146" i="1"/>
  <c r="M146" i="1"/>
  <c r="L146" i="1"/>
  <c r="K146" i="1"/>
  <c r="J146" i="1"/>
  <c r="I146" i="1"/>
  <c r="H146" i="1"/>
  <c r="G146" i="1"/>
  <c r="F146" i="1"/>
  <c r="E146" i="1"/>
  <c r="D146" i="1"/>
  <c r="C14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7B078F-B707-4123-80CB-DCBCE688294E}" keepAlive="1" name="Zapytanie — Zamachy samobójcze -  zgony" description="Połączenie z zapytaniem „Zamachy samobójcze -  zgony” w skoroszycie." type="5" refreshedVersion="8" background="1" saveData="1">
    <dbPr connection="Provider=Microsoft.Mashup.OleDb.1;Data Source=$Workbook$;Location=&quot;Zamachy samobójcze -  zgony&quot;;Extended Properties=&quot;&quot;" command="SELECT * FROM [Zamachy samobójcze -  zgony]"/>
  </connection>
</connections>
</file>

<file path=xl/sharedStrings.xml><?xml version="1.0" encoding="utf-8"?>
<sst xmlns="http://schemas.openxmlformats.org/spreadsheetml/2006/main" count="165" uniqueCount="39">
  <si>
    <t>Rok</t>
  </si>
  <si>
    <t>KWP</t>
  </si>
  <si>
    <t>Liczba osób w zamachach samobójczych zakończonych zgonem</t>
  </si>
  <si>
    <t>Grupa wiekowa - '19-24'</t>
  </si>
  <si>
    <t>Grupa wiekowa - '25-29'</t>
  </si>
  <si>
    <t>Grupa wiekowa - '30-34'</t>
  </si>
  <si>
    <t>Grupa wiekowa - '35-39'</t>
  </si>
  <si>
    <t>Grupa wiekowa - '40-44'</t>
  </si>
  <si>
    <t>Grupa wiekowa - '45-49'</t>
  </si>
  <si>
    <t>Grupa wiekowa - '50-54'</t>
  </si>
  <si>
    <t>Grupa wiekowa - '55-59'</t>
  </si>
  <si>
    <t>Grupa wiekowa - '60-64'</t>
  </si>
  <si>
    <t>Grupa wiekowa - '65-69'</t>
  </si>
  <si>
    <t>Grupa wiekowa - '70-74'</t>
  </si>
  <si>
    <t>Dzień tygodnia - poniedziałek</t>
  </si>
  <si>
    <t>Dzień tygodnia - wtorek</t>
  </si>
  <si>
    <t>Dzień tygodnia - środa</t>
  </si>
  <si>
    <t>Dzień tygodnia - czwartek</t>
  </si>
  <si>
    <t>Dzień tygodnia - piątek</t>
  </si>
  <si>
    <t>Dzień tygodnia - sobota</t>
  </si>
  <si>
    <t>Dzień tygodnia - niedziela</t>
  </si>
  <si>
    <t>KWP Bydgoszcz</t>
  </si>
  <si>
    <t>KWP Białystok</t>
  </si>
  <si>
    <t>KWP Gdańsk</t>
  </si>
  <si>
    <t>KWP Gorzów Wlkp.</t>
  </si>
  <si>
    <t>KWP Katowice</t>
  </si>
  <si>
    <t>KWP Kielce</t>
  </si>
  <si>
    <t>KWP Kraków</t>
  </si>
  <si>
    <t>KWP Łódź</t>
  </si>
  <si>
    <t>KWP Lublin</t>
  </si>
  <si>
    <t>KWP Olsztyn</t>
  </si>
  <si>
    <t>KWP Opole</t>
  </si>
  <si>
    <t>KWP Poznań</t>
  </si>
  <si>
    <t>KWP Rzeszów</t>
  </si>
  <si>
    <t>KWP Szczecin</t>
  </si>
  <si>
    <t>KSP Warszawa</t>
  </si>
  <si>
    <t>KWP Radom</t>
  </si>
  <si>
    <t>KWP Wrocław</t>
  </si>
  <si>
    <t>Polska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</si>
</sst>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ny" xfId="0" builtinId="0"/>
  </cellStyles>
  <dxfs count="3">
    <dxf>
      <fill>
        <patternFill>
          <bgColor rgb="FFFF00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1E8D17-930A-4331-93F2-683C70E4E4B7}" autoFormatId="16" applyNumberFormats="0" applyBorderFormats="0" applyFontFormats="0" applyPatternFormats="0" applyAlignmentFormats="0" applyWidthHeightFormats="0">
  <queryTableRefresh nextId="22">
    <queryTableFields count="21">
      <queryTableField id="1" name="Rok" tableColumnId="1"/>
      <queryTableField id="2" name="KWP" tableColumnId="2"/>
      <queryTableField id="3" name="Liczba osób w zamachach samobójczych zakończonych zgonem" tableColumnId="3"/>
      <queryTableField id="4" name="Grupa wiekowa - '19-24'" tableColumnId="4"/>
      <queryTableField id="5" name="Grupa wiekowa - '25-29'" tableColumnId="5"/>
      <queryTableField id="6" name="Grupa wiekowa - '30-34'" tableColumnId="6"/>
      <queryTableField id="7" name="Grupa wiekowa - '35-39'" tableColumnId="7"/>
      <queryTableField id="8" name="Grupa wiekowa - '40-44'" tableColumnId="8"/>
      <queryTableField id="9" name="Grupa wiekowa - '45-49'" tableColumnId="9"/>
      <queryTableField id="10" name="Grupa wiekowa - '50-54'" tableColumnId="10"/>
      <queryTableField id="11" name="Grupa wiekowa - '55-59'" tableColumnId="11"/>
      <queryTableField id="12" name="Grupa wiekowa - '60-64'" tableColumnId="12"/>
      <queryTableField id="13" name="Grupa wiekowa - '65-69'" tableColumnId="13"/>
      <queryTableField id="14" name="Grupa wiekowa - '70-74'" tableColumnId="14"/>
      <queryTableField id="15" name="Dzień tygodnia - poniedziałek" tableColumnId="15"/>
      <queryTableField id="16" name="Dzień tygodnia - wtorek" tableColumnId="16"/>
      <queryTableField id="17" name="Dzień tygodnia - środa" tableColumnId="17"/>
      <queryTableField id="18" name="Dzień tygodnia - czwartek" tableColumnId="18"/>
      <queryTableField id="19" name="Dzień tygodnia - piątek" tableColumnId="19"/>
      <queryTableField id="20" name="Dzień tygodnia - sobota" tableColumnId="20"/>
      <queryTableField id="21" name="Dzień tygodnia - niedziel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13962-2981-4863-A240-030B3A57F6F3}" name="Zamachy_samobójcze____zgony" displayName="Zamachy_samobójcze____zgony" ref="A1:U146" tableType="queryTable" totalsRowCount="1">
  <autoFilter ref="A1:U145" xr:uid="{D5213962-2981-4863-A240-030B3A57F6F3}">
    <filterColumn colId="0">
      <filters>
        <filter val="2024"/>
      </filters>
    </filterColumn>
  </autoFilter>
  <tableColumns count="21">
    <tableColumn id="1" xr3:uid="{08CC6184-DD22-499D-ACA0-69B99F1910B0}" uniqueName="1" name="Rok" queryTableFieldId="1"/>
    <tableColumn id="2" xr3:uid="{0BB38EDA-CCFB-48DD-B976-67F3E242055E}" uniqueName="2" name="KWP" queryTableFieldId="2" dataDxfId="2" totalsRowDxfId="1"/>
    <tableColumn id="3" xr3:uid="{F4F6E679-F7AA-4046-9E25-1FC6EC89B288}" uniqueName="3" name="Liczba osób w zamachach samobójczych zakończonych zgonem" totalsRowFunction="custom" queryTableFieldId="3">
      <totalsRowFormula>SUM(C128,C129,C130,C131,C132,C133,C134,C135,C136,C137,C138,C139,C140,C141,C142,C143,C144,C145)</totalsRowFormula>
    </tableColumn>
    <tableColumn id="4" xr3:uid="{F31228DD-7F77-45B0-B681-180692946B75}" uniqueName="4" name="Grupa wiekowa - '19-24'" totalsRowFunction="sum" queryTableFieldId="4"/>
    <tableColumn id="5" xr3:uid="{DBA7C4F9-8EFF-4330-A1DD-B8909E897A1D}" uniqueName="5" name="Grupa wiekowa - '25-29'" totalsRowFunction="sum" queryTableFieldId="5"/>
    <tableColumn id="6" xr3:uid="{582BB59D-BB7F-470C-A28D-DB42514DAF9D}" uniqueName="6" name="Grupa wiekowa - '30-34'" totalsRowFunction="sum" queryTableFieldId="6"/>
    <tableColumn id="7" xr3:uid="{50DA734A-B11B-4E5C-BE94-6A5699AA74AA}" uniqueName="7" name="Grupa wiekowa - '35-39'" totalsRowFunction="sum" queryTableFieldId="7"/>
    <tableColumn id="8" xr3:uid="{8D0D2907-EF78-4889-93C3-4CA8557E6368}" uniqueName="8" name="Grupa wiekowa - '40-44'" totalsRowFunction="sum" queryTableFieldId="8"/>
    <tableColumn id="9" xr3:uid="{093607F8-4F17-491B-9914-F8EF0E286A04}" uniqueName="9" name="Grupa wiekowa - '45-49'" totalsRowFunction="sum" queryTableFieldId="9"/>
    <tableColumn id="10" xr3:uid="{6BBF895D-E88D-4F82-888C-DCD927AB267D}" uniqueName="10" name="Grupa wiekowa - '50-54'" totalsRowFunction="sum" queryTableFieldId="10"/>
    <tableColumn id="11" xr3:uid="{49F298F8-EA5E-409F-A633-7B162551F341}" uniqueName="11" name="Grupa wiekowa - '55-59'" totalsRowFunction="sum" queryTableFieldId="11"/>
    <tableColumn id="12" xr3:uid="{16B0A5AE-EF76-4490-A8A9-A8B80F662F3E}" uniqueName="12" name="Grupa wiekowa - '60-64'" totalsRowFunction="sum" queryTableFieldId="12"/>
    <tableColumn id="13" xr3:uid="{65B00DDA-0863-4B6F-B65A-29906CAFD9F4}" uniqueName="13" name="Grupa wiekowa - '65-69'" totalsRowFunction="sum" queryTableFieldId="13"/>
    <tableColumn id="14" xr3:uid="{BA41F5F2-5257-414E-89A2-5D24700FCD80}" uniqueName="14" name="Grupa wiekowa - '70-74'" totalsRowFunction="sum" queryTableFieldId="14"/>
    <tableColumn id="15" xr3:uid="{F536685D-EC83-4E91-8CE8-FAD32C0E1980}" uniqueName="15" name="Dzień tygodnia - poniedziałek" queryTableFieldId="15"/>
    <tableColumn id="16" xr3:uid="{6F26B006-E12A-40BB-BC6B-BE566932AA31}" uniqueName="16" name="Dzień tygodnia - wtorek" queryTableFieldId="16"/>
    <tableColumn id="17" xr3:uid="{CCF65BBC-44D9-4042-A38B-058C1F46E0CA}" uniqueName="17" name="Dzień tygodnia - środa" queryTableFieldId="17"/>
    <tableColumn id="18" xr3:uid="{BFB7F628-38BA-4160-A244-738045CC121B}" uniqueName="18" name="Dzień tygodnia - czwartek" queryTableFieldId="18"/>
    <tableColumn id="19" xr3:uid="{D5D18C27-1EEB-4DA9-93D0-A9C19C3C6B58}" uniqueName="19" name="Dzień tygodnia - piątek" queryTableFieldId="19"/>
    <tableColumn id="20" xr3:uid="{61A6C3E5-AAB9-45FF-9DE4-55B0D9DDE180}" uniqueName="20" name="Dzień tygodnia - sobota" queryTableFieldId="20"/>
    <tableColumn id="21" xr3:uid="{2BB5FFAE-7BA4-4D7B-9FFB-A20A4FF90B29}" uniqueName="21" name="Dzień tygodnia - niedziela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zoomScale="70" zoomScaleNormal="70" workbookViewId="0">
      <selection activeCell="K156" sqref="K156"/>
    </sheetView>
  </sheetViews>
  <sheetFormatPr defaultRowHeight="15" x14ac:dyDescent="0.25"/>
  <cols>
    <col min="1" max="1" width="6.7109375" bestFit="1" customWidth="1"/>
    <col min="2" max="2" width="17.7109375" bestFit="1" customWidth="1"/>
    <col min="3" max="3" width="61" bestFit="1" customWidth="1"/>
    <col min="4" max="14" width="24.42578125" bestFit="1" customWidth="1"/>
    <col min="15" max="15" width="30.140625" bestFit="1" customWidth="1"/>
    <col min="16" max="16" width="24.7109375" bestFit="1" customWidth="1"/>
    <col min="17" max="17" width="23.42578125" bestFit="1" customWidth="1"/>
    <col min="18" max="18" width="26.42578125" bestFit="1" customWidth="1"/>
    <col min="19" max="19" width="24.140625" bestFit="1" customWidth="1"/>
    <col min="20" max="20" width="24.7109375" bestFit="1" customWidth="1"/>
    <col min="21" max="21" width="26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2017</v>
      </c>
      <c r="B2" t="s">
        <v>21</v>
      </c>
      <c r="C2">
        <v>247</v>
      </c>
      <c r="D2">
        <v>20</v>
      </c>
      <c r="E2">
        <v>15</v>
      </c>
      <c r="F2">
        <v>20</v>
      </c>
      <c r="G2">
        <v>22</v>
      </c>
      <c r="H2">
        <v>20</v>
      </c>
      <c r="I2">
        <v>27</v>
      </c>
      <c r="J2">
        <v>19</v>
      </c>
      <c r="K2">
        <v>17</v>
      </c>
      <c r="L2">
        <v>29</v>
      </c>
      <c r="M2">
        <v>18</v>
      </c>
      <c r="N2">
        <v>13</v>
      </c>
      <c r="O2">
        <v>39</v>
      </c>
      <c r="P2">
        <v>31</v>
      </c>
      <c r="Q2">
        <v>31</v>
      </c>
      <c r="R2">
        <v>36</v>
      </c>
      <c r="S2">
        <v>26</v>
      </c>
      <c r="T2">
        <v>42</v>
      </c>
      <c r="U2">
        <v>42</v>
      </c>
    </row>
    <row r="3" spans="1:21" hidden="1" x14ac:dyDescent="0.25">
      <c r="A3">
        <v>2017</v>
      </c>
      <c r="B3" t="s">
        <v>22</v>
      </c>
      <c r="C3">
        <v>142</v>
      </c>
      <c r="D3">
        <v>11</v>
      </c>
      <c r="E3">
        <v>8</v>
      </c>
      <c r="F3">
        <v>17</v>
      </c>
      <c r="G3">
        <v>16</v>
      </c>
      <c r="H3">
        <v>9</v>
      </c>
      <c r="I3">
        <v>7</v>
      </c>
      <c r="J3">
        <v>11</v>
      </c>
      <c r="K3">
        <v>24</v>
      </c>
      <c r="L3">
        <v>11</v>
      </c>
      <c r="M3">
        <v>8</v>
      </c>
      <c r="N3">
        <v>3</v>
      </c>
      <c r="O3">
        <v>17</v>
      </c>
      <c r="P3">
        <v>13</v>
      </c>
      <c r="Q3">
        <v>26</v>
      </c>
      <c r="R3">
        <v>23</v>
      </c>
      <c r="S3">
        <v>21</v>
      </c>
      <c r="T3">
        <v>20</v>
      </c>
      <c r="U3">
        <v>22</v>
      </c>
    </row>
    <row r="4" spans="1:21" hidden="1" x14ac:dyDescent="0.25">
      <c r="A4">
        <v>2017</v>
      </c>
      <c r="B4" t="s">
        <v>23</v>
      </c>
      <c r="C4">
        <v>318</v>
      </c>
      <c r="D4">
        <v>33</v>
      </c>
      <c r="E4">
        <v>22</v>
      </c>
      <c r="F4">
        <v>27</v>
      </c>
      <c r="G4">
        <v>26</v>
      </c>
      <c r="H4">
        <v>34</v>
      </c>
      <c r="I4">
        <v>21</v>
      </c>
      <c r="J4">
        <v>27</v>
      </c>
      <c r="K4">
        <v>34</v>
      </c>
      <c r="L4">
        <v>34</v>
      </c>
      <c r="M4">
        <v>19</v>
      </c>
      <c r="N4">
        <v>5</v>
      </c>
      <c r="O4">
        <v>60</v>
      </c>
      <c r="P4">
        <v>48</v>
      </c>
      <c r="Q4">
        <v>43</v>
      </c>
      <c r="R4">
        <v>40</v>
      </c>
      <c r="S4">
        <v>40</v>
      </c>
      <c r="T4">
        <v>42</v>
      </c>
      <c r="U4">
        <v>45</v>
      </c>
    </row>
    <row r="5" spans="1:21" hidden="1" x14ac:dyDescent="0.25">
      <c r="A5">
        <v>2017</v>
      </c>
      <c r="B5" t="s">
        <v>24</v>
      </c>
      <c r="C5">
        <v>166</v>
      </c>
      <c r="D5">
        <v>15</v>
      </c>
      <c r="E5">
        <v>10</v>
      </c>
      <c r="F5">
        <v>16</v>
      </c>
      <c r="G5">
        <v>15</v>
      </c>
      <c r="H5">
        <v>11</v>
      </c>
      <c r="I5">
        <v>10</v>
      </c>
      <c r="J5">
        <v>13</v>
      </c>
      <c r="K5">
        <v>16</v>
      </c>
      <c r="L5">
        <v>16</v>
      </c>
      <c r="M5">
        <v>12</v>
      </c>
      <c r="N5">
        <v>7</v>
      </c>
      <c r="O5">
        <v>31</v>
      </c>
      <c r="P5">
        <v>32</v>
      </c>
      <c r="Q5">
        <v>20</v>
      </c>
      <c r="R5">
        <v>22</v>
      </c>
      <c r="S5">
        <v>25</v>
      </c>
      <c r="T5">
        <v>13</v>
      </c>
      <c r="U5">
        <v>23</v>
      </c>
    </row>
    <row r="6" spans="1:21" hidden="1" x14ac:dyDescent="0.25">
      <c r="A6">
        <v>2017</v>
      </c>
      <c r="B6" t="s">
        <v>25</v>
      </c>
      <c r="C6">
        <v>601</v>
      </c>
      <c r="D6">
        <v>33</v>
      </c>
      <c r="E6">
        <v>54</v>
      </c>
      <c r="F6">
        <v>76</v>
      </c>
      <c r="G6">
        <v>44</v>
      </c>
      <c r="H6">
        <v>52</v>
      </c>
      <c r="I6">
        <v>49</v>
      </c>
      <c r="J6">
        <v>51</v>
      </c>
      <c r="K6">
        <v>72</v>
      </c>
      <c r="L6">
        <v>45</v>
      </c>
      <c r="M6">
        <v>39</v>
      </c>
      <c r="N6">
        <v>24</v>
      </c>
      <c r="O6">
        <v>104</v>
      </c>
      <c r="P6">
        <v>87</v>
      </c>
      <c r="Q6">
        <v>88</v>
      </c>
      <c r="R6">
        <v>76</v>
      </c>
      <c r="S6">
        <v>66</v>
      </c>
      <c r="T6">
        <v>99</v>
      </c>
      <c r="U6">
        <v>81</v>
      </c>
    </row>
    <row r="7" spans="1:21" hidden="1" x14ac:dyDescent="0.25">
      <c r="A7">
        <v>2017</v>
      </c>
      <c r="B7" t="s">
        <v>26</v>
      </c>
      <c r="C7">
        <v>199</v>
      </c>
      <c r="D7">
        <v>11</v>
      </c>
      <c r="E7">
        <v>17</v>
      </c>
      <c r="F7">
        <v>12</v>
      </c>
      <c r="G7">
        <v>15</v>
      </c>
      <c r="H7">
        <v>18</v>
      </c>
      <c r="I7">
        <v>14</v>
      </c>
      <c r="J7">
        <v>21</v>
      </c>
      <c r="K7">
        <v>25</v>
      </c>
      <c r="L7">
        <v>23</v>
      </c>
      <c r="M7">
        <v>16</v>
      </c>
      <c r="N7">
        <v>14</v>
      </c>
      <c r="O7">
        <v>47</v>
      </c>
      <c r="P7">
        <v>22</v>
      </c>
      <c r="Q7">
        <v>29</v>
      </c>
      <c r="R7">
        <v>22</v>
      </c>
      <c r="S7">
        <v>21</v>
      </c>
      <c r="T7">
        <v>26</v>
      </c>
      <c r="U7">
        <v>32</v>
      </c>
    </row>
    <row r="8" spans="1:21" hidden="1" x14ac:dyDescent="0.25">
      <c r="A8">
        <v>2017</v>
      </c>
      <c r="B8" t="s">
        <v>27</v>
      </c>
      <c r="C8">
        <v>414</v>
      </c>
      <c r="D8">
        <v>25</v>
      </c>
      <c r="E8">
        <v>32</v>
      </c>
      <c r="F8">
        <v>34</v>
      </c>
      <c r="G8">
        <v>36</v>
      </c>
      <c r="H8">
        <v>39</v>
      </c>
      <c r="I8">
        <v>31</v>
      </c>
      <c r="J8">
        <v>29</v>
      </c>
      <c r="K8">
        <v>51</v>
      </c>
      <c r="L8">
        <v>36</v>
      </c>
      <c r="M8">
        <v>34</v>
      </c>
      <c r="N8">
        <v>19</v>
      </c>
      <c r="O8">
        <v>74</v>
      </c>
      <c r="P8">
        <v>60</v>
      </c>
      <c r="Q8">
        <v>56</v>
      </c>
      <c r="R8">
        <v>64</v>
      </c>
      <c r="S8">
        <v>50</v>
      </c>
      <c r="T8">
        <v>57</v>
      </c>
      <c r="U8">
        <v>53</v>
      </c>
    </row>
    <row r="9" spans="1:21" hidden="1" x14ac:dyDescent="0.25">
      <c r="A9">
        <v>2017</v>
      </c>
      <c r="B9" t="s">
        <v>28</v>
      </c>
      <c r="C9">
        <v>380</v>
      </c>
      <c r="D9">
        <v>22</v>
      </c>
      <c r="E9">
        <v>33</v>
      </c>
      <c r="F9">
        <v>32</v>
      </c>
      <c r="G9">
        <v>36</v>
      </c>
      <c r="H9">
        <v>30</v>
      </c>
      <c r="I9">
        <v>27</v>
      </c>
      <c r="J9">
        <v>31</v>
      </c>
      <c r="K9">
        <v>47</v>
      </c>
      <c r="L9">
        <v>42</v>
      </c>
      <c r="M9">
        <v>29</v>
      </c>
      <c r="N9">
        <v>17</v>
      </c>
      <c r="O9">
        <v>58</v>
      </c>
      <c r="P9">
        <v>57</v>
      </c>
      <c r="Q9">
        <v>44</v>
      </c>
      <c r="R9">
        <v>55</v>
      </c>
      <c r="S9">
        <v>43</v>
      </c>
      <c r="T9">
        <v>64</v>
      </c>
      <c r="U9">
        <v>59</v>
      </c>
    </row>
    <row r="10" spans="1:21" hidden="1" x14ac:dyDescent="0.25">
      <c r="A10">
        <v>2017</v>
      </c>
      <c r="B10" t="s">
        <v>29</v>
      </c>
      <c r="C10">
        <v>331</v>
      </c>
      <c r="D10">
        <v>27</v>
      </c>
      <c r="E10">
        <v>23</v>
      </c>
      <c r="F10">
        <v>22</v>
      </c>
      <c r="G10">
        <v>29</v>
      </c>
      <c r="H10">
        <v>33</v>
      </c>
      <c r="I10">
        <v>27</v>
      </c>
      <c r="J10">
        <v>26</v>
      </c>
      <c r="K10">
        <v>47</v>
      </c>
      <c r="L10">
        <v>40</v>
      </c>
      <c r="M10">
        <v>26</v>
      </c>
      <c r="N10">
        <v>7</v>
      </c>
      <c r="O10">
        <v>62</v>
      </c>
      <c r="P10">
        <v>49</v>
      </c>
      <c r="Q10">
        <v>45</v>
      </c>
      <c r="R10">
        <v>54</v>
      </c>
      <c r="S10">
        <v>47</v>
      </c>
      <c r="T10">
        <v>33</v>
      </c>
      <c r="U10">
        <v>41</v>
      </c>
    </row>
    <row r="11" spans="1:21" hidden="1" x14ac:dyDescent="0.25">
      <c r="A11">
        <v>2017</v>
      </c>
      <c r="B11" t="s">
        <v>30</v>
      </c>
      <c r="C11">
        <v>226</v>
      </c>
      <c r="D11">
        <v>17</v>
      </c>
      <c r="E11">
        <v>22</v>
      </c>
      <c r="F11">
        <v>18</v>
      </c>
      <c r="G11">
        <v>16</v>
      </c>
      <c r="H11">
        <v>15</v>
      </c>
      <c r="I11">
        <v>21</v>
      </c>
      <c r="J11">
        <v>22</v>
      </c>
      <c r="K11">
        <v>21</v>
      </c>
      <c r="L11">
        <v>25</v>
      </c>
      <c r="M11">
        <v>9</v>
      </c>
      <c r="N11">
        <v>13</v>
      </c>
      <c r="O11">
        <v>38</v>
      </c>
      <c r="P11">
        <v>28</v>
      </c>
      <c r="Q11">
        <v>47</v>
      </c>
      <c r="R11">
        <v>33</v>
      </c>
      <c r="S11">
        <v>26</v>
      </c>
      <c r="T11">
        <v>23</v>
      </c>
      <c r="U11">
        <v>31</v>
      </c>
    </row>
    <row r="12" spans="1:21" hidden="1" x14ac:dyDescent="0.25">
      <c r="A12">
        <v>2017</v>
      </c>
      <c r="B12" t="s">
        <v>31</v>
      </c>
      <c r="C12">
        <v>126</v>
      </c>
      <c r="D12">
        <v>6</v>
      </c>
      <c r="E12">
        <v>10</v>
      </c>
      <c r="F12">
        <v>18</v>
      </c>
      <c r="G12">
        <v>15</v>
      </c>
      <c r="H12">
        <v>13</v>
      </c>
      <c r="I12">
        <v>9</v>
      </c>
      <c r="J12">
        <v>10</v>
      </c>
      <c r="K12">
        <v>19</v>
      </c>
      <c r="L12">
        <v>7</v>
      </c>
      <c r="M12">
        <v>11</v>
      </c>
      <c r="N12">
        <v>2</v>
      </c>
      <c r="O12">
        <v>21</v>
      </c>
      <c r="P12">
        <v>14</v>
      </c>
      <c r="Q12">
        <v>19</v>
      </c>
      <c r="R12">
        <v>17</v>
      </c>
      <c r="S12">
        <v>24</v>
      </c>
      <c r="T12">
        <v>17</v>
      </c>
      <c r="U12">
        <v>14</v>
      </c>
    </row>
    <row r="13" spans="1:21" hidden="1" x14ac:dyDescent="0.25">
      <c r="A13">
        <v>2017</v>
      </c>
      <c r="B13" t="s">
        <v>32</v>
      </c>
      <c r="C13">
        <v>411</v>
      </c>
      <c r="D13">
        <v>25</v>
      </c>
      <c r="E13">
        <v>28</v>
      </c>
      <c r="F13">
        <v>40</v>
      </c>
      <c r="G13">
        <v>43</v>
      </c>
      <c r="H13">
        <v>41</v>
      </c>
      <c r="I13">
        <v>32</v>
      </c>
      <c r="J13">
        <v>31</v>
      </c>
      <c r="K13">
        <v>45</v>
      </c>
      <c r="L13">
        <v>42</v>
      </c>
      <c r="M13">
        <v>33</v>
      </c>
      <c r="N13">
        <v>15</v>
      </c>
      <c r="O13">
        <v>54</v>
      </c>
      <c r="P13">
        <v>74</v>
      </c>
      <c r="Q13">
        <v>55</v>
      </c>
      <c r="R13">
        <v>50</v>
      </c>
      <c r="S13">
        <v>61</v>
      </c>
      <c r="T13">
        <v>59</v>
      </c>
      <c r="U13">
        <v>58</v>
      </c>
    </row>
    <row r="14" spans="1:21" hidden="1" x14ac:dyDescent="0.25">
      <c r="A14">
        <v>2017</v>
      </c>
      <c r="B14" t="s">
        <v>33</v>
      </c>
      <c r="C14">
        <v>285</v>
      </c>
      <c r="D14">
        <v>22</v>
      </c>
      <c r="E14">
        <v>20</v>
      </c>
      <c r="F14">
        <v>21</v>
      </c>
      <c r="G14">
        <v>24</v>
      </c>
      <c r="H14">
        <v>22</v>
      </c>
      <c r="I14">
        <v>22</v>
      </c>
      <c r="J14">
        <v>34</v>
      </c>
      <c r="K14">
        <v>39</v>
      </c>
      <c r="L14">
        <v>30</v>
      </c>
      <c r="M14">
        <v>20</v>
      </c>
      <c r="N14">
        <v>10</v>
      </c>
      <c r="O14">
        <v>46</v>
      </c>
      <c r="P14">
        <v>35</v>
      </c>
      <c r="Q14">
        <v>40</v>
      </c>
      <c r="R14">
        <v>39</v>
      </c>
      <c r="S14">
        <v>44</v>
      </c>
      <c r="T14">
        <v>48</v>
      </c>
      <c r="U14">
        <v>33</v>
      </c>
    </row>
    <row r="15" spans="1:21" hidden="1" x14ac:dyDescent="0.25">
      <c r="A15">
        <v>2017</v>
      </c>
      <c r="B15" t="s">
        <v>34</v>
      </c>
      <c r="C15">
        <v>249</v>
      </c>
      <c r="D15">
        <v>15</v>
      </c>
      <c r="E15">
        <v>17</v>
      </c>
      <c r="F15">
        <v>21</v>
      </c>
      <c r="G15">
        <v>28</v>
      </c>
      <c r="H15">
        <v>19</v>
      </c>
      <c r="I15">
        <v>20</v>
      </c>
      <c r="J15">
        <v>26</v>
      </c>
      <c r="K15">
        <v>25</v>
      </c>
      <c r="L15">
        <v>31</v>
      </c>
      <c r="M15">
        <v>16</v>
      </c>
      <c r="N15">
        <v>10</v>
      </c>
      <c r="O15">
        <v>46</v>
      </c>
      <c r="P15">
        <v>37</v>
      </c>
      <c r="Q15">
        <v>34</v>
      </c>
      <c r="R15">
        <v>23</v>
      </c>
      <c r="S15">
        <v>32</v>
      </c>
      <c r="T15">
        <v>42</v>
      </c>
      <c r="U15">
        <v>35</v>
      </c>
    </row>
    <row r="16" spans="1:21" hidden="1" x14ac:dyDescent="0.25">
      <c r="A16">
        <v>2017</v>
      </c>
      <c r="B16" t="s">
        <v>35</v>
      </c>
      <c r="C16">
        <v>348</v>
      </c>
      <c r="D16">
        <v>22</v>
      </c>
      <c r="E16">
        <v>24</v>
      </c>
      <c r="F16">
        <v>40</v>
      </c>
      <c r="G16">
        <v>31</v>
      </c>
      <c r="H16">
        <v>39</v>
      </c>
      <c r="I16">
        <v>20</v>
      </c>
      <c r="J16">
        <v>23</v>
      </c>
      <c r="K16">
        <v>29</v>
      </c>
      <c r="L16">
        <v>39</v>
      </c>
      <c r="M16">
        <v>20</v>
      </c>
      <c r="N16">
        <v>16</v>
      </c>
      <c r="O16">
        <v>55</v>
      </c>
      <c r="P16">
        <v>50</v>
      </c>
      <c r="Q16">
        <v>49</v>
      </c>
      <c r="R16">
        <v>51</v>
      </c>
      <c r="S16">
        <v>59</v>
      </c>
      <c r="T16">
        <v>36</v>
      </c>
      <c r="U16">
        <v>48</v>
      </c>
    </row>
    <row r="17" spans="1:21" hidden="1" x14ac:dyDescent="0.25">
      <c r="A17">
        <v>2017</v>
      </c>
      <c r="B17" t="s">
        <v>36</v>
      </c>
      <c r="C17">
        <v>393</v>
      </c>
      <c r="D17">
        <v>23</v>
      </c>
      <c r="E17">
        <v>31</v>
      </c>
      <c r="F17">
        <v>40</v>
      </c>
      <c r="G17">
        <v>29</v>
      </c>
      <c r="H17">
        <v>32</v>
      </c>
      <c r="I17">
        <v>36</v>
      </c>
      <c r="J17">
        <v>31</v>
      </c>
      <c r="K17">
        <v>42</v>
      </c>
      <c r="L17">
        <v>43</v>
      </c>
      <c r="M17">
        <v>29</v>
      </c>
      <c r="N17">
        <v>20</v>
      </c>
      <c r="O17">
        <v>54</v>
      </c>
      <c r="P17">
        <v>56</v>
      </c>
      <c r="Q17">
        <v>63</v>
      </c>
      <c r="R17">
        <v>53</v>
      </c>
      <c r="S17">
        <v>65</v>
      </c>
      <c r="T17">
        <v>41</v>
      </c>
      <c r="U17">
        <v>61</v>
      </c>
    </row>
    <row r="18" spans="1:21" hidden="1" x14ac:dyDescent="0.25">
      <c r="A18">
        <v>2017</v>
      </c>
      <c r="B18" t="s">
        <v>37</v>
      </c>
      <c r="C18">
        <v>440</v>
      </c>
      <c r="D18">
        <v>26</v>
      </c>
      <c r="E18">
        <v>40</v>
      </c>
      <c r="F18">
        <v>45</v>
      </c>
      <c r="G18">
        <v>40</v>
      </c>
      <c r="H18">
        <v>35</v>
      </c>
      <c r="I18">
        <v>32</v>
      </c>
      <c r="J18">
        <v>37</v>
      </c>
      <c r="K18">
        <v>50</v>
      </c>
      <c r="L18">
        <v>43</v>
      </c>
      <c r="M18">
        <v>40</v>
      </c>
      <c r="N18">
        <v>18</v>
      </c>
      <c r="O18">
        <v>68</v>
      </c>
      <c r="P18">
        <v>58</v>
      </c>
      <c r="Q18">
        <v>60</v>
      </c>
      <c r="R18">
        <v>54</v>
      </c>
      <c r="S18">
        <v>64</v>
      </c>
      <c r="T18">
        <v>67</v>
      </c>
      <c r="U18">
        <v>69</v>
      </c>
    </row>
    <row r="19" spans="1:21" hidden="1" x14ac:dyDescent="0.25">
      <c r="A19">
        <v>2017</v>
      </c>
      <c r="B19" t="s">
        <v>38</v>
      </c>
      <c r="C19">
        <v>5276</v>
      </c>
      <c r="D19">
        <v>353</v>
      </c>
      <c r="E19">
        <v>406</v>
      </c>
      <c r="F19">
        <v>499</v>
      </c>
      <c r="G19">
        <v>465</v>
      </c>
      <c r="H19">
        <v>462</v>
      </c>
      <c r="I19">
        <v>405</v>
      </c>
      <c r="J19">
        <v>442</v>
      </c>
      <c r="K19">
        <v>603</v>
      </c>
      <c r="L19">
        <v>536</v>
      </c>
      <c r="M19">
        <v>379</v>
      </c>
      <c r="N19">
        <v>213</v>
      </c>
      <c r="O19">
        <v>874</v>
      </c>
      <c r="P19">
        <v>751</v>
      </c>
      <c r="Q19">
        <v>749</v>
      </c>
      <c r="R19">
        <v>712</v>
      </c>
      <c r="S19">
        <v>714</v>
      </c>
      <c r="T19">
        <v>729</v>
      </c>
      <c r="U19">
        <v>747</v>
      </c>
    </row>
    <row r="20" spans="1:21" hidden="1" x14ac:dyDescent="0.25">
      <c r="A20">
        <v>2018</v>
      </c>
      <c r="B20" t="s">
        <v>21</v>
      </c>
      <c r="C20">
        <v>281</v>
      </c>
      <c r="D20">
        <v>26</v>
      </c>
      <c r="E20">
        <v>19</v>
      </c>
      <c r="F20">
        <v>26</v>
      </c>
      <c r="G20">
        <v>30</v>
      </c>
      <c r="H20">
        <v>21</v>
      </c>
      <c r="I20">
        <v>27</v>
      </c>
      <c r="J20">
        <v>19</v>
      </c>
      <c r="K20">
        <v>24</v>
      </c>
      <c r="L20">
        <v>31</v>
      </c>
      <c r="M20">
        <v>16</v>
      </c>
      <c r="N20">
        <v>15</v>
      </c>
      <c r="O20">
        <v>40</v>
      </c>
      <c r="P20">
        <v>43</v>
      </c>
      <c r="Q20">
        <v>44</v>
      </c>
      <c r="R20">
        <v>32</v>
      </c>
      <c r="S20">
        <v>47</v>
      </c>
      <c r="T20">
        <v>40</v>
      </c>
      <c r="U20">
        <v>35</v>
      </c>
    </row>
    <row r="21" spans="1:21" hidden="1" x14ac:dyDescent="0.25">
      <c r="A21">
        <v>2018</v>
      </c>
      <c r="B21" t="s">
        <v>22</v>
      </c>
      <c r="C21">
        <v>139</v>
      </c>
      <c r="D21">
        <v>11</v>
      </c>
      <c r="E21">
        <v>9</v>
      </c>
      <c r="F21">
        <v>10</v>
      </c>
      <c r="G21">
        <v>12</v>
      </c>
      <c r="H21">
        <v>11</v>
      </c>
      <c r="I21">
        <v>12</v>
      </c>
      <c r="J21">
        <v>14</v>
      </c>
      <c r="K21">
        <v>16</v>
      </c>
      <c r="L21">
        <v>19</v>
      </c>
      <c r="M21">
        <v>7</v>
      </c>
      <c r="N21">
        <v>6</v>
      </c>
      <c r="O21">
        <v>21</v>
      </c>
      <c r="P21">
        <v>23</v>
      </c>
      <c r="Q21">
        <v>17</v>
      </c>
      <c r="R21">
        <v>20</v>
      </c>
      <c r="S21">
        <v>25</v>
      </c>
      <c r="T21">
        <v>15</v>
      </c>
      <c r="U21">
        <v>18</v>
      </c>
    </row>
    <row r="22" spans="1:21" hidden="1" x14ac:dyDescent="0.25">
      <c r="A22">
        <v>2018</v>
      </c>
      <c r="B22" t="s">
        <v>23</v>
      </c>
      <c r="C22">
        <v>274</v>
      </c>
      <c r="D22">
        <v>21</v>
      </c>
      <c r="E22">
        <v>32</v>
      </c>
      <c r="F22">
        <v>28</v>
      </c>
      <c r="G22">
        <v>23</v>
      </c>
      <c r="H22">
        <v>28</v>
      </c>
      <c r="I22">
        <v>16</v>
      </c>
      <c r="J22">
        <v>15</v>
      </c>
      <c r="K22">
        <v>21</v>
      </c>
      <c r="L22">
        <v>29</v>
      </c>
      <c r="M22">
        <v>20</v>
      </c>
      <c r="N22">
        <v>12</v>
      </c>
      <c r="O22">
        <v>42</v>
      </c>
      <c r="P22">
        <v>47</v>
      </c>
      <c r="Q22">
        <v>39</v>
      </c>
      <c r="R22">
        <v>31</v>
      </c>
      <c r="S22">
        <v>43</v>
      </c>
      <c r="T22">
        <v>36</v>
      </c>
      <c r="U22">
        <v>36</v>
      </c>
    </row>
    <row r="23" spans="1:21" hidden="1" x14ac:dyDescent="0.25">
      <c r="A23">
        <v>2018</v>
      </c>
      <c r="B23" t="s">
        <v>24</v>
      </c>
      <c r="C23">
        <v>153</v>
      </c>
      <c r="D23">
        <v>4</v>
      </c>
      <c r="E23">
        <v>9</v>
      </c>
      <c r="F23">
        <v>13</v>
      </c>
      <c r="G23">
        <v>18</v>
      </c>
      <c r="H23">
        <v>17</v>
      </c>
      <c r="I23">
        <v>15</v>
      </c>
      <c r="J23">
        <v>13</v>
      </c>
      <c r="K23">
        <v>15</v>
      </c>
      <c r="L23">
        <v>16</v>
      </c>
      <c r="M23">
        <v>15</v>
      </c>
      <c r="N23">
        <v>8</v>
      </c>
      <c r="O23">
        <v>24</v>
      </c>
      <c r="P23">
        <v>22</v>
      </c>
      <c r="Q23">
        <v>25</v>
      </c>
      <c r="R23">
        <v>16</v>
      </c>
      <c r="S23">
        <v>29</v>
      </c>
      <c r="T23">
        <v>20</v>
      </c>
      <c r="U23">
        <v>17</v>
      </c>
    </row>
    <row r="24" spans="1:21" hidden="1" x14ac:dyDescent="0.25">
      <c r="A24">
        <v>2018</v>
      </c>
      <c r="B24" t="s">
        <v>25</v>
      </c>
      <c r="C24">
        <v>596</v>
      </c>
      <c r="D24">
        <v>44</v>
      </c>
      <c r="E24">
        <v>48</v>
      </c>
      <c r="F24">
        <v>50</v>
      </c>
      <c r="G24">
        <v>51</v>
      </c>
      <c r="H24">
        <v>59</v>
      </c>
      <c r="I24">
        <v>60</v>
      </c>
      <c r="J24">
        <v>40</v>
      </c>
      <c r="K24">
        <v>71</v>
      </c>
      <c r="L24">
        <v>48</v>
      </c>
      <c r="M24">
        <v>44</v>
      </c>
      <c r="N24">
        <v>20</v>
      </c>
      <c r="O24">
        <v>105</v>
      </c>
      <c r="P24">
        <v>82</v>
      </c>
      <c r="Q24">
        <v>60</v>
      </c>
      <c r="R24">
        <v>83</v>
      </c>
      <c r="S24">
        <v>94</v>
      </c>
      <c r="T24">
        <v>84</v>
      </c>
      <c r="U24">
        <v>88</v>
      </c>
    </row>
    <row r="25" spans="1:21" hidden="1" x14ac:dyDescent="0.25">
      <c r="A25">
        <v>2018</v>
      </c>
      <c r="B25" t="s">
        <v>26</v>
      </c>
      <c r="C25">
        <v>181</v>
      </c>
      <c r="D25">
        <v>9</v>
      </c>
      <c r="E25">
        <v>14</v>
      </c>
      <c r="F25">
        <v>12</v>
      </c>
      <c r="G25">
        <v>16</v>
      </c>
      <c r="H25">
        <v>19</v>
      </c>
      <c r="I25">
        <v>15</v>
      </c>
      <c r="J25">
        <v>15</v>
      </c>
      <c r="K25">
        <v>25</v>
      </c>
      <c r="L25">
        <v>26</v>
      </c>
      <c r="M25">
        <v>10</v>
      </c>
      <c r="N25">
        <v>6</v>
      </c>
      <c r="O25">
        <v>25</v>
      </c>
      <c r="P25">
        <v>25</v>
      </c>
      <c r="Q25">
        <v>31</v>
      </c>
      <c r="R25">
        <v>29</v>
      </c>
      <c r="S25">
        <v>30</v>
      </c>
      <c r="T25">
        <v>26</v>
      </c>
      <c r="U25">
        <v>15</v>
      </c>
    </row>
    <row r="26" spans="1:21" hidden="1" x14ac:dyDescent="0.25">
      <c r="A26">
        <v>2018</v>
      </c>
      <c r="B26" t="s">
        <v>27</v>
      </c>
      <c r="C26">
        <v>398</v>
      </c>
      <c r="D26">
        <v>21</v>
      </c>
      <c r="E26">
        <v>23</v>
      </c>
      <c r="F26">
        <v>35</v>
      </c>
      <c r="G26">
        <v>22</v>
      </c>
      <c r="H26">
        <v>36</v>
      </c>
      <c r="I26">
        <v>53</v>
      </c>
      <c r="J26">
        <v>39</v>
      </c>
      <c r="K26">
        <v>38</v>
      </c>
      <c r="L26">
        <v>43</v>
      </c>
      <c r="M26">
        <v>24</v>
      </c>
      <c r="N26">
        <v>26</v>
      </c>
      <c r="O26">
        <v>63</v>
      </c>
      <c r="P26">
        <v>57</v>
      </c>
      <c r="Q26">
        <v>61</v>
      </c>
      <c r="R26">
        <v>54</v>
      </c>
      <c r="S26">
        <v>48</v>
      </c>
      <c r="T26">
        <v>57</v>
      </c>
      <c r="U26">
        <v>58</v>
      </c>
    </row>
    <row r="27" spans="1:21" hidden="1" x14ac:dyDescent="0.25">
      <c r="A27">
        <v>2018</v>
      </c>
      <c r="B27" t="s">
        <v>28</v>
      </c>
      <c r="C27">
        <v>391</v>
      </c>
      <c r="D27">
        <v>27</v>
      </c>
      <c r="E27">
        <v>28</v>
      </c>
      <c r="F27">
        <v>27</v>
      </c>
      <c r="G27">
        <v>36</v>
      </c>
      <c r="H27">
        <v>33</v>
      </c>
      <c r="I27">
        <v>36</v>
      </c>
      <c r="J27">
        <v>34</v>
      </c>
      <c r="K27">
        <v>39</v>
      </c>
      <c r="L27">
        <v>42</v>
      </c>
      <c r="M27">
        <v>28</v>
      </c>
      <c r="N27">
        <v>26</v>
      </c>
      <c r="O27">
        <v>65</v>
      </c>
      <c r="P27">
        <v>55</v>
      </c>
      <c r="Q27">
        <v>71</v>
      </c>
      <c r="R27">
        <v>48</v>
      </c>
      <c r="S27">
        <v>52</v>
      </c>
      <c r="T27">
        <v>51</v>
      </c>
      <c r="U27">
        <v>49</v>
      </c>
    </row>
    <row r="28" spans="1:21" hidden="1" x14ac:dyDescent="0.25">
      <c r="A28">
        <v>2018</v>
      </c>
      <c r="B28" t="s">
        <v>29</v>
      </c>
      <c r="C28">
        <v>321</v>
      </c>
      <c r="D28">
        <v>18</v>
      </c>
      <c r="E28">
        <v>30</v>
      </c>
      <c r="F28">
        <v>27</v>
      </c>
      <c r="G28">
        <v>28</v>
      </c>
      <c r="H28">
        <v>28</v>
      </c>
      <c r="I28">
        <v>24</v>
      </c>
      <c r="J28">
        <v>28</v>
      </c>
      <c r="K28">
        <v>33</v>
      </c>
      <c r="L28">
        <v>31</v>
      </c>
      <c r="M28">
        <v>21</v>
      </c>
      <c r="N28">
        <v>20</v>
      </c>
      <c r="O28">
        <v>66</v>
      </c>
      <c r="P28">
        <v>46</v>
      </c>
      <c r="Q28">
        <v>47</v>
      </c>
      <c r="R28">
        <v>40</v>
      </c>
      <c r="S28">
        <v>45</v>
      </c>
      <c r="T28">
        <v>42</v>
      </c>
      <c r="U28">
        <v>35</v>
      </c>
    </row>
    <row r="29" spans="1:21" hidden="1" x14ac:dyDescent="0.25">
      <c r="A29">
        <v>2018</v>
      </c>
      <c r="B29" t="s">
        <v>30</v>
      </c>
      <c r="C29">
        <v>215</v>
      </c>
      <c r="D29">
        <v>21</v>
      </c>
      <c r="E29">
        <v>13</v>
      </c>
      <c r="F29">
        <v>14</v>
      </c>
      <c r="G29">
        <v>16</v>
      </c>
      <c r="H29">
        <v>18</v>
      </c>
      <c r="I29">
        <v>17</v>
      </c>
      <c r="J29">
        <v>18</v>
      </c>
      <c r="K29">
        <v>19</v>
      </c>
      <c r="L29">
        <v>22</v>
      </c>
      <c r="M29">
        <v>22</v>
      </c>
      <c r="N29">
        <v>14</v>
      </c>
      <c r="O29">
        <v>26</v>
      </c>
      <c r="P29">
        <v>33</v>
      </c>
      <c r="Q29">
        <v>22</v>
      </c>
      <c r="R29">
        <v>30</v>
      </c>
      <c r="S29">
        <v>39</v>
      </c>
      <c r="T29">
        <v>34</v>
      </c>
      <c r="U29">
        <v>31</v>
      </c>
    </row>
    <row r="30" spans="1:21" hidden="1" x14ac:dyDescent="0.25">
      <c r="A30">
        <v>2018</v>
      </c>
      <c r="B30" t="s">
        <v>31</v>
      </c>
      <c r="C30">
        <v>116</v>
      </c>
      <c r="D30">
        <v>3</v>
      </c>
      <c r="E30">
        <v>7</v>
      </c>
      <c r="F30">
        <v>11</v>
      </c>
      <c r="G30">
        <v>14</v>
      </c>
      <c r="H30">
        <v>9</v>
      </c>
      <c r="I30">
        <v>10</v>
      </c>
      <c r="J30">
        <v>8</v>
      </c>
      <c r="K30">
        <v>11</v>
      </c>
      <c r="L30">
        <v>15</v>
      </c>
      <c r="M30">
        <v>4</v>
      </c>
      <c r="N30">
        <v>9</v>
      </c>
      <c r="O30">
        <v>18</v>
      </c>
      <c r="P30">
        <v>16</v>
      </c>
      <c r="Q30">
        <v>21</v>
      </c>
      <c r="R30">
        <v>17</v>
      </c>
      <c r="S30">
        <v>14</v>
      </c>
      <c r="T30">
        <v>10</v>
      </c>
      <c r="U30">
        <v>20</v>
      </c>
    </row>
    <row r="31" spans="1:21" hidden="1" x14ac:dyDescent="0.25">
      <c r="A31">
        <v>2018</v>
      </c>
      <c r="B31" t="s">
        <v>32</v>
      </c>
      <c r="C31">
        <v>386</v>
      </c>
      <c r="D31">
        <v>15</v>
      </c>
      <c r="E31">
        <v>34</v>
      </c>
      <c r="F31">
        <v>36</v>
      </c>
      <c r="G31">
        <v>32</v>
      </c>
      <c r="H31">
        <v>33</v>
      </c>
      <c r="I31">
        <v>34</v>
      </c>
      <c r="J31">
        <v>32</v>
      </c>
      <c r="K31">
        <v>51</v>
      </c>
      <c r="L31">
        <v>53</v>
      </c>
      <c r="M31">
        <v>28</v>
      </c>
      <c r="N31">
        <v>11</v>
      </c>
      <c r="O31">
        <v>67</v>
      </c>
      <c r="P31">
        <v>61</v>
      </c>
      <c r="Q31">
        <v>46</v>
      </c>
      <c r="R31">
        <v>50</v>
      </c>
      <c r="S31">
        <v>48</v>
      </c>
      <c r="T31">
        <v>46</v>
      </c>
      <c r="U31">
        <v>68</v>
      </c>
    </row>
    <row r="32" spans="1:21" hidden="1" x14ac:dyDescent="0.25">
      <c r="A32">
        <v>2018</v>
      </c>
      <c r="B32" t="s">
        <v>33</v>
      </c>
      <c r="C32">
        <v>273</v>
      </c>
      <c r="D32">
        <v>15</v>
      </c>
      <c r="E32">
        <v>23</v>
      </c>
      <c r="F32">
        <v>24</v>
      </c>
      <c r="G32">
        <v>18</v>
      </c>
      <c r="H32">
        <v>28</v>
      </c>
      <c r="I32">
        <v>23</v>
      </c>
      <c r="J32">
        <v>26</v>
      </c>
      <c r="K32">
        <v>40</v>
      </c>
      <c r="L32">
        <v>23</v>
      </c>
      <c r="M32">
        <v>14</v>
      </c>
      <c r="N32">
        <v>19</v>
      </c>
      <c r="O32">
        <v>46</v>
      </c>
      <c r="P32">
        <v>43</v>
      </c>
      <c r="Q32">
        <v>48</v>
      </c>
      <c r="R32">
        <v>38</v>
      </c>
      <c r="S32">
        <v>33</v>
      </c>
      <c r="T32">
        <v>37</v>
      </c>
      <c r="U32">
        <v>28</v>
      </c>
    </row>
    <row r="33" spans="1:21" hidden="1" x14ac:dyDescent="0.25">
      <c r="A33">
        <v>2018</v>
      </c>
      <c r="B33" t="s">
        <v>34</v>
      </c>
      <c r="C33">
        <v>262</v>
      </c>
      <c r="D33">
        <v>24</v>
      </c>
      <c r="E33">
        <v>12</v>
      </c>
      <c r="F33">
        <v>21</v>
      </c>
      <c r="G33">
        <v>26</v>
      </c>
      <c r="H33">
        <v>18</v>
      </c>
      <c r="I33">
        <v>17</v>
      </c>
      <c r="J33">
        <v>24</v>
      </c>
      <c r="K33">
        <v>24</v>
      </c>
      <c r="L33">
        <v>37</v>
      </c>
      <c r="M33">
        <v>18</v>
      </c>
      <c r="N33">
        <v>14</v>
      </c>
      <c r="O33">
        <v>47</v>
      </c>
      <c r="P33">
        <v>39</v>
      </c>
      <c r="Q33">
        <v>37</v>
      </c>
      <c r="R33">
        <v>32</v>
      </c>
      <c r="S33">
        <v>40</v>
      </c>
      <c r="T33">
        <v>37</v>
      </c>
      <c r="U33">
        <v>30</v>
      </c>
    </row>
    <row r="34" spans="1:21" hidden="1" x14ac:dyDescent="0.25">
      <c r="A34">
        <v>2018</v>
      </c>
      <c r="B34" t="s">
        <v>35</v>
      </c>
      <c r="C34">
        <v>377</v>
      </c>
      <c r="D34">
        <v>27</v>
      </c>
      <c r="E34">
        <v>29</v>
      </c>
      <c r="F34">
        <v>45</v>
      </c>
      <c r="G34">
        <v>36</v>
      </c>
      <c r="H34">
        <v>34</v>
      </c>
      <c r="I34">
        <v>23</v>
      </c>
      <c r="J34">
        <v>29</v>
      </c>
      <c r="K34">
        <v>31</v>
      </c>
      <c r="L34">
        <v>33</v>
      </c>
      <c r="M34">
        <v>24</v>
      </c>
      <c r="N34">
        <v>24</v>
      </c>
      <c r="O34">
        <v>63</v>
      </c>
      <c r="P34">
        <v>54</v>
      </c>
      <c r="Q34">
        <v>45</v>
      </c>
      <c r="R34">
        <v>62</v>
      </c>
      <c r="S34">
        <v>47</v>
      </c>
      <c r="T34">
        <v>50</v>
      </c>
      <c r="U34">
        <v>56</v>
      </c>
    </row>
    <row r="35" spans="1:21" hidden="1" x14ac:dyDescent="0.25">
      <c r="A35">
        <v>2018</v>
      </c>
      <c r="B35" t="s">
        <v>36</v>
      </c>
      <c r="C35">
        <v>392</v>
      </c>
      <c r="D35">
        <v>26</v>
      </c>
      <c r="E35">
        <v>20</v>
      </c>
      <c r="F35">
        <v>25</v>
      </c>
      <c r="G35">
        <v>33</v>
      </c>
      <c r="H35">
        <v>38</v>
      </c>
      <c r="I35">
        <v>28</v>
      </c>
      <c r="J35">
        <v>35</v>
      </c>
      <c r="K35">
        <v>45</v>
      </c>
      <c r="L35">
        <v>55</v>
      </c>
      <c r="M35">
        <v>38</v>
      </c>
      <c r="N35">
        <v>10</v>
      </c>
      <c r="O35">
        <v>64</v>
      </c>
      <c r="P35">
        <v>56</v>
      </c>
      <c r="Q35">
        <v>47</v>
      </c>
      <c r="R35">
        <v>67</v>
      </c>
      <c r="S35">
        <v>48</v>
      </c>
      <c r="T35">
        <v>46</v>
      </c>
      <c r="U35">
        <v>64</v>
      </c>
    </row>
    <row r="36" spans="1:21" hidden="1" x14ac:dyDescent="0.25">
      <c r="A36">
        <v>2018</v>
      </c>
      <c r="B36" t="s">
        <v>37</v>
      </c>
      <c r="C36">
        <v>427</v>
      </c>
      <c r="D36">
        <v>32</v>
      </c>
      <c r="E36">
        <v>34</v>
      </c>
      <c r="F36">
        <v>39</v>
      </c>
      <c r="G36">
        <v>35</v>
      </c>
      <c r="H36">
        <v>42</v>
      </c>
      <c r="I36">
        <v>27</v>
      </c>
      <c r="J36">
        <v>38</v>
      </c>
      <c r="K36">
        <v>48</v>
      </c>
      <c r="L36">
        <v>42</v>
      </c>
      <c r="M36">
        <v>24</v>
      </c>
      <c r="N36">
        <v>21</v>
      </c>
      <c r="O36">
        <v>72</v>
      </c>
      <c r="P36">
        <v>59</v>
      </c>
      <c r="Q36">
        <v>59</v>
      </c>
      <c r="R36">
        <v>49</v>
      </c>
      <c r="S36">
        <v>68</v>
      </c>
      <c r="T36">
        <v>62</v>
      </c>
      <c r="U36">
        <v>58</v>
      </c>
    </row>
    <row r="37" spans="1:21" hidden="1" x14ac:dyDescent="0.25">
      <c r="A37">
        <v>2018</v>
      </c>
      <c r="B37" t="s">
        <v>38</v>
      </c>
      <c r="C37">
        <v>5182</v>
      </c>
      <c r="D37">
        <v>344</v>
      </c>
      <c r="E37">
        <v>384</v>
      </c>
      <c r="F37">
        <v>443</v>
      </c>
      <c r="G37">
        <v>446</v>
      </c>
      <c r="H37">
        <v>472</v>
      </c>
      <c r="I37">
        <v>437</v>
      </c>
      <c r="J37">
        <v>427</v>
      </c>
      <c r="K37">
        <v>551</v>
      </c>
      <c r="L37">
        <v>565</v>
      </c>
      <c r="M37">
        <v>357</v>
      </c>
      <c r="N37">
        <v>261</v>
      </c>
      <c r="O37">
        <v>854</v>
      </c>
      <c r="P37">
        <v>761</v>
      </c>
      <c r="Q37">
        <v>720</v>
      </c>
      <c r="R37">
        <v>698</v>
      </c>
      <c r="S37">
        <v>750</v>
      </c>
      <c r="T37">
        <v>693</v>
      </c>
      <c r="U37">
        <v>706</v>
      </c>
    </row>
    <row r="38" spans="1:21" hidden="1" x14ac:dyDescent="0.25">
      <c r="A38">
        <v>2019</v>
      </c>
      <c r="B38" t="s">
        <v>21</v>
      </c>
      <c r="C38">
        <v>260</v>
      </c>
      <c r="D38">
        <v>22</v>
      </c>
      <c r="E38">
        <v>18</v>
      </c>
      <c r="F38">
        <v>26</v>
      </c>
      <c r="G38">
        <v>25</v>
      </c>
      <c r="H38">
        <v>28</v>
      </c>
      <c r="I38">
        <v>17</v>
      </c>
      <c r="J38">
        <v>17</v>
      </c>
      <c r="K38">
        <v>24</v>
      </c>
      <c r="L38">
        <v>34</v>
      </c>
      <c r="M38">
        <v>17</v>
      </c>
      <c r="N38">
        <v>14</v>
      </c>
      <c r="O38">
        <v>40</v>
      </c>
      <c r="P38">
        <v>47</v>
      </c>
      <c r="Q38">
        <v>36</v>
      </c>
      <c r="R38">
        <v>28</v>
      </c>
      <c r="S38">
        <v>44</v>
      </c>
      <c r="T38">
        <v>32</v>
      </c>
      <c r="U38">
        <v>33</v>
      </c>
    </row>
    <row r="39" spans="1:21" hidden="1" x14ac:dyDescent="0.25">
      <c r="A39">
        <v>2019</v>
      </c>
      <c r="B39" t="s">
        <v>22</v>
      </c>
      <c r="C39">
        <v>172</v>
      </c>
      <c r="D39">
        <v>7</v>
      </c>
      <c r="E39">
        <v>8</v>
      </c>
      <c r="F39">
        <v>13</v>
      </c>
      <c r="G39">
        <v>21</v>
      </c>
      <c r="H39">
        <v>14</v>
      </c>
      <c r="I39">
        <v>16</v>
      </c>
      <c r="J39">
        <v>22</v>
      </c>
      <c r="K39">
        <v>15</v>
      </c>
      <c r="L39">
        <v>18</v>
      </c>
      <c r="M39">
        <v>13</v>
      </c>
      <c r="N39">
        <v>4</v>
      </c>
      <c r="O39">
        <v>34</v>
      </c>
      <c r="P39">
        <v>18</v>
      </c>
      <c r="Q39">
        <v>24</v>
      </c>
      <c r="R39">
        <v>17</v>
      </c>
      <c r="S39">
        <v>30</v>
      </c>
      <c r="T39">
        <v>26</v>
      </c>
      <c r="U39">
        <v>23</v>
      </c>
    </row>
    <row r="40" spans="1:21" hidden="1" x14ac:dyDescent="0.25">
      <c r="A40">
        <v>2019</v>
      </c>
      <c r="B40" t="s">
        <v>23</v>
      </c>
      <c r="C40">
        <v>313</v>
      </c>
      <c r="D40">
        <v>28</v>
      </c>
      <c r="E40">
        <v>26</v>
      </c>
      <c r="F40">
        <v>25</v>
      </c>
      <c r="G40">
        <v>39</v>
      </c>
      <c r="H40">
        <v>32</v>
      </c>
      <c r="I40">
        <v>13</v>
      </c>
      <c r="J40">
        <v>23</v>
      </c>
      <c r="K40">
        <v>23</v>
      </c>
      <c r="L40">
        <v>36</v>
      </c>
      <c r="M40">
        <v>25</v>
      </c>
      <c r="N40">
        <v>15</v>
      </c>
      <c r="O40">
        <v>62</v>
      </c>
      <c r="P40">
        <v>56</v>
      </c>
      <c r="Q40">
        <v>43</v>
      </c>
      <c r="R40">
        <v>36</v>
      </c>
      <c r="S40">
        <v>40</v>
      </c>
      <c r="T40">
        <v>35</v>
      </c>
      <c r="U40">
        <v>41</v>
      </c>
    </row>
    <row r="41" spans="1:21" hidden="1" x14ac:dyDescent="0.25">
      <c r="A41">
        <v>2019</v>
      </c>
      <c r="B41" t="s">
        <v>24</v>
      </c>
      <c r="C41">
        <v>176</v>
      </c>
      <c r="D41">
        <v>9</v>
      </c>
      <c r="E41">
        <v>15</v>
      </c>
      <c r="F41">
        <v>16</v>
      </c>
      <c r="G41">
        <v>24</v>
      </c>
      <c r="H41">
        <v>9</v>
      </c>
      <c r="I41">
        <v>18</v>
      </c>
      <c r="J41">
        <v>9</v>
      </c>
      <c r="K41">
        <v>15</v>
      </c>
      <c r="L41">
        <v>18</v>
      </c>
      <c r="M41">
        <v>14</v>
      </c>
      <c r="N41">
        <v>11</v>
      </c>
      <c r="O41">
        <v>24</v>
      </c>
      <c r="P41">
        <v>28</v>
      </c>
      <c r="Q41">
        <v>24</v>
      </c>
      <c r="R41">
        <v>32</v>
      </c>
      <c r="S41">
        <v>16</v>
      </c>
      <c r="T41">
        <v>23</v>
      </c>
      <c r="U41">
        <v>29</v>
      </c>
    </row>
    <row r="42" spans="1:21" hidden="1" x14ac:dyDescent="0.25">
      <c r="A42">
        <v>2019</v>
      </c>
      <c r="B42" t="s">
        <v>25</v>
      </c>
      <c r="C42">
        <v>548</v>
      </c>
      <c r="D42">
        <v>44</v>
      </c>
      <c r="E42">
        <v>45</v>
      </c>
      <c r="F42">
        <v>62</v>
      </c>
      <c r="G42">
        <v>53</v>
      </c>
      <c r="H42">
        <v>45</v>
      </c>
      <c r="I42">
        <v>57</v>
      </c>
      <c r="J42">
        <v>42</v>
      </c>
      <c r="K42">
        <v>39</v>
      </c>
      <c r="L42">
        <v>39</v>
      </c>
      <c r="M42">
        <v>45</v>
      </c>
      <c r="N42">
        <v>24</v>
      </c>
      <c r="O42">
        <v>72</v>
      </c>
      <c r="P42">
        <v>92</v>
      </c>
      <c r="Q42">
        <v>80</v>
      </c>
      <c r="R42">
        <v>89</v>
      </c>
      <c r="S42">
        <v>76</v>
      </c>
      <c r="T42">
        <v>70</v>
      </c>
      <c r="U42">
        <v>69</v>
      </c>
    </row>
    <row r="43" spans="1:21" hidden="1" x14ac:dyDescent="0.25">
      <c r="A43">
        <v>2019</v>
      </c>
      <c r="B43" t="s">
        <v>26</v>
      </c>
      <c r="C43">
        <v>190</v>
      </c>
      <c r="D43">
        <v>9</v>
      </c>
      <c r="E43">
        <v>14</v>
      </c>
      <c r="F43">
        <v>18</v>
      </c>
      <c r="G43">
        <v>16</v>
      </c>
      <c r="H43">
        <v>20</v>
      </c>
      <c r="I43">
        <v>13</v>
      </c>
      <c r="J43">
        <v>15</v>
      </c>
      <c r="K43">
        <v>16</v>
      </c>
      <c r="L43">
        <v>15</v>
      </c>
      <c r="M43">
        <v>24</v>
      </c>
      <c r="N43">
        <v>13</v>
      </c>
      <c r="O43">
        <v>26</v>
      </c>
      <c r="P43">
        <v>27</v>
      </c>
      <c r="Q43">
        <v>29</v>
      </c>
      <c r="R43">
        <v>26</v>
      </c>
      <c r="S43">
        <v>27</v>
      </c>
      <c r="T43">
        <v>33</v>
      </c>
      <c r="U43">
        <v>22</v>
      </c>
    </row>
    <row r="44" spans="1:21" hidden="1" x14ac:dyDescent="0.25">
      <c r="A44">
        <v>2019</v>
      </c>
      <c r="B44" t="s">
        <v>27</v>
      </c>
      <c r="C44">
        <v>432</v>
      </c>
      <c r="D44">
        <v>41</v>
      </c>
      <c r="E44">
        <v>32</v>
      </c>
      <c r="F44">
        <v>38</v>
      </c>
      <c r="G44">
        <v>37</v>
      </c>
      <c r="H44">
        <v>30</v>
      </c>
      <c r="I44">
        <v>30</v>
      </c>
      <c r="J44">
        <v>34</v>
      </c>
      <c r="K44">
        <v>45</v>
      </c>
      <c r="L44">
        <v>43</v>
      </c>
      <c r="M44">
        <v>30</v>
      </c>
      <c r="N44">
        <v>20</v>
      </c>
      <c r="O44">
        <v>77</v>
      </c>
      <c r="P44">
        <v>52</v>
      </c>
      <c r="Q44">
        <v>72</v>
      </c>
      <c r="R44">
        <v>47</v>
      </c>
      <c r="S44">
        <v>66</v>
      </c>
      <c r="T44">
        <v>63</v>
      </c>
      <c r="U44">
        <v>55</v>
      </c>
    </row>
    <row r="45" spans="1:21" hidden="1" x14ac:dyDescent="0.25">
      <c r="A45">
        <v>2019</v>
      </c>
      <c r="B45" t="s">
        <v>28</v>
      </c>
      <c r="C45">
        <v>345</v>
      </c>
      <c r="D45">
        <v>15</v>
      </c>
      <c r="E45">
        <v>21</v>
      </c>
      <c r="F45">
        <v>24</v>
      </c>
      <c r="G45">
        <v>32</v>
      </c>
      <c r="H45">
        <v>35</v>
      </c>
      <c r="I45">
        <v>48</v>
      </c>
      <c r="J45">
        <v>27</v>
      </c>
      <c r="K45">
        <v>27</v>
      </c>
      <c r="L45">
        <v>30</v>
      </c>
      <c r="M45">
        <v>25</v>
      </c>
      <c r="N45">
        <v>21</v>
      </c>
      <c r="O45">
        <v>58</v>
      </c>
      <c r="P45">
        <v>51</v>
      </c>
      <c r="Q45">
        <v>62</v>
      </c>
      <c r="R45">
        <v>50</v>
      </c>
      <c r="S45">
        <v>38</v>
      </c>
      <c r="T45">
        <v>34</v>
      </c>
      <c r="U45">
        <v>52</v>
      </c>
    </row>
    <row r="46" spans="1:21" hidden="1" x14ac:dyDescent="0.25">
      <c r="A46">
        <v>2019</v>
      </c>
      <c r="B46" t="s">
        <v>29</v>
      </c>
      <c r="C46">
        <v>306</v>
      </c>
      <c r="D46">
        <v>13</v>
      </c>
      <c r="E46">
        <v>21</v>
      </c>
      <c r="F46">
        <v>26</v>
      </c>
      <c r="G46">
        <v>25</v>
      </c>
      <c r="H46">
        <v>29</v>
      </c>
      <c r="I46">
        <v>30</v>
      </c>
      <c r="J46">
        <v>30</v>
      </c>
      <c r="K46">
        <v>26</v>
      </c>
      <c r="L46">
        <v>35</v>
      </c>
      <c r="M46">
        <v>19</v>
      </c>
      <c r="N46">
        <v>12</v>
      </c>
      <c r="O46">
        <v>52</v>
      </c>
      <c r="P46">
        <v>40</v>
      </c>
      <c r="Q46">
        <v>58</v>
      </c>
      <c r="R46">
        <v>52</v>
      </c>
      <c r="S46">
        <v>35</v>
      </c>
      <c r="T46">
        <v>38</v>
      </c>
      <c r="U46">
        <v>31</v>
      </c>
    </row>
    <row r="47" spans="1:21" hidden="1" x14ac:dyDescent="0.25">
      <c r="A47">
        <v>2019</v>
      </c>
      <c r="B47" t="s">
        <v>30</v>
      </c>
      <c r="C47">
        <v>242</v>
      </c>
      <c r="D47">
        <v>16</v>
      </c>
      <c r="E47">
        <v>23</v>
      </c>
      <c r="F47">
        <v>22</v>
      </c>
      <c r="G47">
        <v>22</v>
      </c>
      <c r="H47">
        <v>19</v>
      </c>
      <c r="I47">
        <v>8</v>
      </c>
      <c r="J47">
        <v>20</v>
      </c>
      <c r="K47">
        <v>17</v>
      </c>
      <c r="L47">
        <v>38</v>
      </c>
      <c r="M47">
        <v>14</v>
      </c>
      <c r="N47">
        <v>14</v>
      </c>
      <c r="O47">
        <v>35</v>
      </c>
      <c r="P47">
        <v>30</v>
      </c>
      <c r="Q47">
        <v>38</v>
      </c>
      <c r="R47">
        <v>29</v>
      </c>
      <c r="S47">
        <v>34</v>
      </c>
      <c r="T47">
        <v>33</v>
      </c>
      <c r="U47">
        <v>43</v>
      </c>
    </row>
    <row r="48" spans="1:21" hidden="1" x14ac:dyDescent="0.25">
      <c r="A48">
        <v>2019</v>
      </c>
      <c r="B48" t="s">
        <v>31</v>
      </c>
      <c r="C48">
        <v>129</v>
      </c>
      <c r="D48">
        <v>11</v>
      </c>
      <c r="E48">
        <v>7</v>
      </c>
      <c r="F48">
        <v>15</v>
      </c>
      <c r="G48">
        <v>14</v>
      </c>
      <c r="H48">
        <v>11</v>
      </c>
      <c r="I48">
        <v>12</v>
      </c>
      <c r="J48">
        <v>7</v>
      </c>
      <c r="K48">
        <v>9</v>
      </c>
      <c r="L48">
        <v>16</v>
      </c>
      <c r="M48">
        <v>12</v>
      </c>
      <c r="N48">
        <v>6</v>
      </c>
      <c r="O48">
        <v>17</v>
      </c>
      <c r="P48">
        <v>24</v>
      </c>
      <c r="Q48">
        <v>26</v>
      </c>
      <c r="R48">
        <v>17</v>
      </c>
      <c r="S48">
        <v>16</v>
      </c>
      <c r="T48">
        <v>8</v>
      </c>
      <c r="U48">
        <v>21</v>
      </c>
    </row>
    <row r="49" spans="1:21" hidden="1" x14ac:dyDescent="0.25">
      <c r="A49">
        <v>2019</v>
      </c>
      <c r="B49" t="s">
        <v>32</v>
      </c>
      <c r="C49">
        <v>438</v>
      </c>
      <c r="D49">
        <v>23</v>
      </c>
      <c r="E49">
        <v>34</v>
      </c>
      <c r="F49">
        <v>37</v>
      </c>
      <c r="G49">
        <v>33</v>
      </c>
      <c r="H49">
        <v>43</v>
      </c>
      <c r="I49">
        <v>43</v>
      </c>
      <c r="J49">
        <v>36</v>
      </c>
      <c r="K49">
        <v>42</v>
      </c>
      <c r="L49">
        <v>40</v>
      </c>
      <c r="M49">
        <v>31</v>
      </c>
      <c r="N49">
        <v>30</v>
      </c>
      <c r="O49">
        <v>86</v>
      </c>
      <c r="P49">
        <v>53</v>
      </c>
      <c r="Q49">
        <v>65</v>
      </c>
      <c r="R49">
        <v>57</v>
      </c>
      <c r="S49">
        <v>56</v>
      </c>
      <c r="T49">
        <v>64</v>
      </c>
      <c r="U49">
        <v>57</v>
      </c>
    </row>
    <row r="50" spans="1:21" hidden="1" x14ac:dyDescent="0.25">
      <c r="A50">
        <v>2019</v>
      </c>
      <c r="B50" t="s">
        <v>33</v>
      </c>
      <c r="C50">
        <v>235</v>
      </c>
      <c r="D50">
        <v>14</v>
      </c>
      <c r="E50">
        <v>21</v>
      </c>
      <c r="F50">
        <v>15</v>
      </c>
      <c r="G50">
        <v>24</v>
      </c>
      <c r="H50">
        <v>18</v>
      </c>
      <c r="I50">
        <v>25</v>
      </c>
      <c r="J50">
        <v>17</v>
      </c>
      <c r="K50">
        <v>25</v>
      </c>
      <c r="L50">
        <v>30</v>
      </c>
      <c r="M50">
        <v>18</v>
      </c>
      <c r="N50">
        <v>10</v>
      </c>
      <c r="O50">
        <v>48</v>
      </c>
      <c r="P50">
        <v>38</v>
      </c>
      <c r="Q50">
        <v>33</v>
      </c>
      <c r="R50">
        <v>29</v>
      </c>
      <c r="S50">
        <v>29</v>
      </c>
      <c r="T50">
        <v>37</v>
      </c>
      <c r="U50">
        <v>21</v>
      </c>
    </row>
    <row r="51" spans="1:21" hidden="1" x14ac:dyDescent="0.25">
      <c r="A51">
        <v>2019</v>
      </c>
      <c r="B51" t="s">
        <v>34</v>
      </c>
      <c r="C51">
        <v>266</v>
      </c>
      <c r="D51">
        <v>16</v>
      </c>
      <c r="E51">
        <v>22</v>
      </c>
      <c r="F51">
        <v>26</v>
      </c>
      <c r="G51">
        <v>29</v>
      </c>
      <c r="H51">
        <v>18</v>
      </c>
      <c r="I51">
        <v>17</v>
      </c>
      <c r="J51">
        <v>15</v>
      </c>
      <c r="K51">
        <v>28</v>
      </c>
      <c r="L51">
        <v>33</v>
      </c>
      <c r="M51">
        <v>25</v>
      </c>
      <c r="N51">
        <v>17</v>
      </c>
      <c r="O51">
        <v>41</v>
      </c>
      <c r="P51">
        <v>44</v>
      </c>
      <c r="Q51">
        <v>41</v>
      </c>
      <c r="R51">
        <v>29</v>
      </c>
      <c r="S51">
        <v>44</v>
      </c>
      <c r="T51">
        <v>32</v>
      </c>
      <c r="U51">
        <v>35</v>
      </c>
    </row>
    <row r="52" spans="1:21" hidden="1" x14ac:dyDescent="0.25">
      <c r="A52">
        <v>2019</v>
      </c>
      <c r="B52" t="s">
        <v>35</v>
      </c>
      <c r="C52">
        <v>349</v>
      </c>
      <c r="D52">
        <v>19</v>
      </c>
      <c r="E52">
        <v>34</v>
      </c>
      <c r="F52">
        <v>37</v>
      </c>
      <c r="G52">
        <v>33</v>
      </c>
      <c r="H52">
        <v>37</v>
      </c>
      <c r="I52">
        <v>33</v>
      </c>
      <c r="J52">
        <v>19</v>
      </c>
      <c r="K52">
        <v>26</v>
      </c>
      <c r="L52">
        <v>29</v>
      </c>
      <c r="M52">
        <v>25</v>
      </c>
      <c r="N52">
        <v>19</v>
      </c>
      <c r="O52">
        <v>59</v>
      </c>
      <c r="P52">
        <v>55</v>
      </c>
      <c r="Q52">
        <v>56</v>
      </c>
      <c r="R52">
        <v>59</v>
      </c>
      <c r="S52">
        <v>50</v>
      </c>
      <c r="T52">
        <v>32</v>
      </c>
      <c r="U52">
        <v>38</v>
      </c>
    </row>
    <row r="53" spans="1:21" hidden="1" x14ac:dyDescent="0.25">
      <c r="A53">
        <v>2019</v>
      </c>
      <c r="B53" t="s">
        <v>36</v>
      </c>
      <c r="C53">
        <v>401</v>
      </c>
      <c r="D53">
        <v>29</v>
      </c>
      <c r="E53">
        <v>25</v>
      </c>
      <c r="F53">
        <v>29</v>
      </c>
      <c r="G53">
        <v>45</v>
      </c>
      <c r="H53">
        <v>33</v>
      </c>
      <c r="I53">
        <v>39</v>
      </c>
      <c r="J53">
        <v>36</v>
      </c>
      <c r="K53">
        <v>49</v>
      </c>
      <c r="L53">
        <v>35</v>
      </c>
      <c r="M53">
        <v>26</v>
      </c>
      <c r="N53">
        <v>19</v>
      </c>
      <c r="O53">
        <v>71</v>
      </c>
      <c r="P53">
        <v>72</v>
      </c>
      <c r="Q53">
        <v>45</v>
      </c>
      <c r="R53">
        <v>60</v>
      </c>
      <c r="S53">
        <v>52</v>
      </c>
      <c r="T53">
        <v>45</v>
      </c>
      <c r="U53">
        <v>56</v>
      </c>
    </row>
    <row r="54" spans="1:21" hidden="1" x14ac:dyDescent="0.25">
      <c r="A54">
        <v>2019</v>
      </c>
      <c r="B54" t="s">
        <v>37</v>
      </c>
      <c r="C54">
        <v>453</v>
      </c>
      <c r="D54">
        <v>44</v>
      </c>
      <c r="E54">
        <v>36</v>
      </c>
      <c r="F54">
        <v>45</v>
      </c>
      <c r="G54">
        <v>48</v>
      </c>
      <c r="H54">
        <v>32</v>
      </c>
      <c r="I54">
        <v>34</v>
      </c>
      <c r="J54">
        <v>22</v>
      </c>
      <c r="K54">
        <v>25</v>
      </c>
      <c r="L54">
        <v>44</v>
      </c>
      <c r="M54">
        <v>40</v>
      </c>
      <c r="N54">
        <v>31</v>
      </c>
      <c r="O54">
        <v>56</v>
      </c>
      <c r="P54">
        <v>70</v>
      </c>
      <c r="Q54">
        <v>72</v>
      </c>
      <c r="R54">
        <v>67</v>
      </c>
      <c r="S54">
        <v>51</v>
      </c>
      <c r="T54">
        <v>66</v>
      </c>
      <c r="U54">
        <v>71</v>
      </c>
    </row>
    <row r="55" spans="1:21" hidden="1" x14ac:dyDescent="0.25">
      <c r="A55">
        <v>2019</v>
      </c>
      <c r="B55" t="s">
        <v>38</v>
      </c>
      <c r="C55">
        <v>5255</v>
      </c>
      <c r="D55">
        <v>360</v>
      </c>
      <c r="E55">
        <v>402</v>
      </c>
      <c r="F55">
        <v>474</v>
      </c>
      <c r="G55">
        <v>520</v>
      </c>
      <c r="H55">
        <v>453</v>
      </c>
      <c r="I55">
        <v>453</v>
      </c>
      <c r="J55">
        <v>391</v>
      </c>
      <c r="K55">
        <v>451</v>
      </c>
      <c r="L55">
        <v>533</v>
      </c>
      <c r="M55">
        <v>403</v>
      </c>
      <c r="N55">
        <v>280</v>
      </c>
      <c r="O55">
        <v>858</v>
      </c>
      <c r="P55">
        <v>797</v>
      </c>
      <c r="Q55">
        <v>804</v>
      </c>
      <c r="R55">
        <v>724</v>
      </c>
      <c r="S55">
        <v>704</v>
      </c>
      <c r="T55">
        <v>671</v>
      </c>
      <c r="U55">
        <v>697</v>
      </c>
    </row>
    <row r="56" spans="1:21" hidden="1" x14ac:dyDescent="0.25">
      <c r="A56">
        <v>2020</v>
      </c>
      <c r="B56" t="s">
        <v>21</v>
      </c>
      <c r="C56">
        <v>255</v>
      </c>
      <c r="D56">
        <v>15</v>
      </c>
      <c r="E56">
        <v>31</v>
      </c>
      <c r="F56">
        <v>26</v>
      </c>
      <c r="G56">
        <v>18</v>
      </c>
      <c r="H56">
        <v>18</v>
      </c>
      <c r="I56">
        <v>24</v>
      </c>
      <c r="J56">
        <v>18</v>
      </c>
      <c r="K56">
        <v>26</v>
      </c>
      <c r="L56">
        <v>25</v>
      </c>
      <c r="M56">
        <v>12</v>
      </c>
      <c r="N56">
        <v>14</v>
      </c>
      <c r="O56">
        <v>37</v>
      </c>
      <c r="P56">
        <v>42</v>
      </c>
      <c r="Q56">
        <v>39</v>
      </c>
      <c r="R56">
        <v>33</v>
      </c>
      <c r="S56">
        <v>37</v>
      </c>
      <c r="T56">
        <v>34</v>
      </c>
      <c r="U56">
        <v>33</v>
      </c>
    </row>
    <row r="57" spans="1:21" hidden="1" x14ac:dyDescent="0.25">
      <c r="A57">
        <v>2020</v>
      </c>
      <c r="B57" t="s">
        <v>22</v>
      </c>
      <c r="C57">
        <v>173</v>
      </c>
      <c r="D57">
        <v>16</v>
      </c>
      <c r="E57">
        <v>13</v>
      </c>
      <c r="F57">
        <v>17</v>
      </c>
      <c r="G57">
        <v>17</v>
      </c>
      <c r="H57">
        <v>19</v>
      </c>
      <c r="I57">
        <v>12</v>
      </c>
      <c r="J57">
        <v>13</v>
      </c>
      <c r="K57">
        <v>19</v>
      </c>
      <c r="L57">
        <v>18</v>
      </c>
      <c r="M57">
        <v>4</v>
      </c>
      <c r="N57">
        <v>8</v>
      </c>
      <c r="O57">
        <v>34</v>
      </c>
      <c r="P57">
        <v>17</v>
      </c>
      <c r="Q57">
        <v>25</v>
      </c>
      <c r="R57">
        <v>28</v>
      </c>
      <c r="S57">
        <v>19</v>
      </c>
      <c r="T57">
        <v>31</v>
      </c>
      <c r="U57">
        <v>19</v>
      </c>
    </row>
    <row r="58" spans="1:21" hidden="1" x14ac:dyDescent="0.25">
      <c r="A58">
        <v>2020</v>
      </c>
      <c r="B58" t="s">
        <v>23</v>
      </c>
      <c r="C58">
        <v>302</v>
      </c>
      <c r="D58">
        <v>24</v>
      </c>
      <c r="E58">
        <v>23</v>
      </c>
      <c r="F58">
        <v>32</v>
      </c>
      <c r="G58">
        <v>32</v>
      </c>
      <c r="H58">
        <v>35</v>
      </c>
      <c r="I58">
        <v>23</v>
      </c>
      <c r="J58">
        <v>28</v>
      </c>
      <c r="K58">
        <v>22</v>
      </c>
      <c r="L58">
        <v>29</v>
      </c>
      <c r="M58">
        <v>16</v>
      </c>
      <c r="N58">
        <v>12</v>
      </c>
      <c r="O58">
        <v>54</v>
      </c>
      <c r="P58">
        <v>39</v>
      </c>
      <c r="Q58">
        <v>52</v>
      </c>
      <c r="R58">
        <v>42</v>
      </c>
      <c r="S58">
        <v>32</v>
      </c>
      <c r="T58">
        <v>34</v>
      </c>
      <c r="U58">
        <v>49</v>
      </c>
    </row>
    <row r="59" spans="1:21" hidden="1" x14ac:dyDescent="0.25">
      <c r="A59">
        <v>2020</v>
      </c>
      <c r="B59" t="s">
        <v>24</v>
      </c>
      <c r="C59">
        <v>148</v>
      </c>
      <c r="D59">
        <v>11</v>
      </c>
      <c r="E59">
        <v>6</v>
      </c>
      <c r="F59">
        <v>10</v>
      </c>
      <c r="G59">
        <v>13</v>
      </c>
      <c r="H59">
        <v>24</v>
      </c>
      <c r="I59">
        <v>8</v>
      </c>
      <c r="J59">
        <v>8</v>
      </c>
      <c r="K59">
        <v>14</v>
      </c>
      <c r="L59">
        <v>28</v>
      </c>
      <c r="M59">
        <v>7</v>
      </c>
      <c r="N59">
        <v>10</v>
      </c>
      <c r="O59">
        <v>26</v>
      </c>
      <c r="P59">
        <v>22</v>
      </c>
      <c r="Q59">
        <v>23</v>
      </c>
      <c r="R59">
        <v>26</v>
      </c>
      <c r="S59">
        <v>12</v>
      </c>
      <c r="T59">
        <v>21</v>
      </c>
      <c r="U59">
        <v>18</v>
      </c>
    </row>
    <row r="60" spans="1:21" hidden="1" x14ac:dyDescent="0.25">
      <c r="A60">
        <v>2020</v>
      </c>
      <c r="B60" t="s">
        <v>25</v>
      </c>
      <c r="C60">
        <v>562</v>
      </c>
      <c r="D60">
        <v>39</v>
      </c>
      <c r="E60">
        <v>52</v>
      </c>
      <c r="F60">
        <v>51</v>
      </c>
      <c r="G60">
        <v>42</v>
      </c>
      <c r="H60">
        <v>55</v>
      </c>
      <c r="I60">
        <v>49</v>
      </c>
      <c r="J60">
        <v>38</v>
      </c>
      <c r="K60">
        <v>57</v>
      </c>
      <c r="L60">
        <v>54</v>
      </c>
      <c r="M60">
        <v>33</v>
      </c>
      <c r="N60">
        <v>30</v>
      </c>
      <c r="O60">
        <v>91</v>
      </c>
      <c r="P60">
        <v>75</v>
      </c>
      <c r="Q60">
        <v>79</v>
      </c>
      <c r="R60">
        <v>86</v>
      </c>
      <c r="S60">
        <v>72</v>
      </c>
      <c r="T60">
        <v>91</v>
      </c>
      <c r="U60">
        <v>68</v>
      </c>
    </row>
    <row r="61" spans="1:21" hidden="1" x14ac:dyDescent="0.25">
      <c r="A61">
        <v>2020</v>
      </c>
      <c r="B61" t="s">
        <v>26</v>
      </c>
      <c r="C61">
        <v>192</v>
      </c>
      <c r="D61">
        <v>5</v>
      </c>
      <c r="E61">
        <v>12</v>
      </c>
      <c r="F61">
        <v>15</v>
      </c>
      <c r="G61">
        <v>23</v>
      </c>
      <c r="H61">
        <v>14</v>
      </c>
      <c r="I61">
        <v>10</v>
      </c>
      <c r="J61">
        <v>15</v>
      </c>
      <c r="K61">
        <v>24</v>
      </c>
      <c r="L61">
        <v>21</v>
      </c>
      <c r="M61">
        <v>18</v>
      </c>
      <c r="N61">
        <v>13</v>
      </c>
      <c r="O61">
        <v>34</v>
      </c>
      <c r="P61">
        <v>29</v>
      </c>
      <c r="Q61">
        <v>20</v>
      </c>
      <c r="R61">
        <v>33</v>
      </c>
      <c r="S61">
        <v>21</v>
      </c>
      <c r="T61">
        <v>21</v>
      </c>
      <c r="U61">
        <v>34</v>
      </c>
    </row>
    <row r="62" spans="1:21" hidden="1" x14ac:dyDescent="0.25">
      <c r="A62">
        <v>2020</v>
      </c>
      <c r="B62" t="s">
        <v>27</v>
      </c>
      <c r="C62">
        <v>475</v>
      </c>
      <c r="D62">
        <v>37</v>
      </c>
      <c r="E62">
        <v>35</v>
      </c>
      <c r="F62">
        <v>35</v>
      </c>
      <c r="G62">
        <v>48</v>
      </c>
      <c r="H62">
        <v>42</v>
      </c>
      <c r="I62">
        <v>41</v>
      </c>
      <c r="J62">
        <v>37</v>
      </c>
      <c r="K62">
        <v>29</v>
      </c>
      <c r="L62">
        <v>47</v>
      </c>
      <c r="M62">
        <v>52</v>
      </c>
      <c r="N62">
        <v>22</v>
      </c>
      <c r="O62">
        <v>84</v>
      </c>
      <c r="P62">
        <v>72</v>
      </c>
      <c r="Q62">
        <v>73</v>
      </c>
      <c r="R62">
        <v>55</v>
      </c>
      <c r="S62">
        <v>67</v>
      </c>
      <c r="T62">
        <v>61</v>
      </c>
      <c r="U62">
        <v>63</v>
      </c>
    </row>
    <row r="63" spans="1:21" hidden="1" x14ac:dyDescent="0.25">
      <c r="A63">
        <v>2020</v>
      </c>
      <c r="B63" t="s">
        <v>28</v>
      </c>
      <c r="C63">
        <v>329</v>
      </c>
      <c r="D63">
        <v>20</v>
      </c>
      <c r="E63">
        <v>26</v>
      </c>
      <c r="F63">
        <v>25</v>
      </c>
      <c r="G63">
        <v>31</v>
      </c>
      <c r="H63">
        <v>24</v>
      </c>
      <c r="I63">
        <v>29</v>
      </c>
      <c r="J63">
        <v>28</v>
      </c>
      <c r="K63">
        <v>26</v>
      </c>
      <c r="L63">
        <v>39</v>
      </c>
      <c r="M63">
        <v>29</v>
      </c>
      <c r="N63">
        <v>22</v>
      </c>
      <c r="O63">
        <v>53</v>
      </c>
      <c r="P63">
        <v>54</v>
      </c>
      <c r="Q63">
        <v>33</v>
      </c>
      <c r="R63">
        <v>48</v>
      </c>
      <c r="S63">
        <v>40</v>
      </c>
      <c r="T63">
        <v>58</v>
      </c>
      <c r="U63">
        <v>43</v>
      </c>
    </row>
    <row r="64" spans="1:21" hidden="1" x14ac:dyDescent="0.25">
      <c r="A64">
        <v>2020</v>
      </c>
      <c r="B64" t="s">
        <v>29</v>
      </c>
      <c r="C64">
        <v>302</v>
      </c>
      <c r="D64">
        <v>28</v>
      </c>
      <c r="E64">
        <v>18</v>
      </c>
      <c r="F64">
        <v>21</v>
      </c>
      <c r="G64">
        <v>30</v>
      </c>
      <c r="H64">
        <v>30</v>
      </c>
      <c r="I64">
        <v>22</v>
      </c>
      <c r="J64">
        <v>21</v>
      </c>
      <c r="K64">
        <v>29</v>
      </c>
      <c r="L64">
        <v>34</v>
      </c>
      <c r="M64">
        <v>27</v>
      </c>
      <c r="N64">
        <v>13</v>
      </c>
      <c r="O64">
        <v>39</v>
      </c>
      <c r="P64">
        <v>35</v>
      </c>
      <c r="Q64">
        <v>52</v>
      </c>
      <c r="R64">
        <v>53</v>
      </c>
      <c r="S64">
        <v>47</v>
      </c>
      <c r="T64">
        <v>42</v>
      </c>
      <c r="U64">
        <v>34</v>
      </c>
    </row>
    <row r="65" spans="1:21" hidden="1" x14ac:dyDescent="0.25">
      <c r="A65">
        <v>2020</v>
      </c>
      <c r="B65" t="s">
        <v>30</v>
      </c>
      <c r="C65">
        <v>245</v>
      </c>
      <c r="D65">
        <v>13</v>
      </c>
      <c r="E65">
        <v>19</v>
      </c>
      <c r="F65">
        <v>18</v>
      </c>
      <c r="G65">
        <v>33</v>
      </c>
      <c r="H65">
        <v>22</v>
      </c>
      <c r="I65">
        <v>32</v>
      </c>
      <c r="J65">
        <v>22</v>
      </c>
      <c r="K65">
        <v>21</v>
      </c>
      <c r="L65">
        <v>17</v>
      </c>
      <c r="M65">
        <v>21</v>
      </c>
      <c r="N65">
        <v>11</v>
      </c>
      <c r="O65">
        <v>33</v>
      </c>
      <c r="P65">
        <v>28</v>
      </c>
      <c r="Q65">
        <v>43</v>
      </c>
      <c r="R65">
        <v>37</v>
      </c>
      <c r="S65">
        <v>34</v>
      </c>
      <c r="T65">
        <v>35</v>
      </c>
      <c r="U65">
        <v>35</v>
      </c>
    </row>
    <row r="66" spans="1:21" hidden="1" x14ac:dyDescent="0.25">
      <c r="A66">
        <v>2020</v>
      </c>
      <c r="B66" t="s">
        <v>31</v>
      </c>
      <c r="C66">
        <v>105</v>
      </c>
      <c r="D66">
        <v>9</v>
      </c>
      <c r="E66">
        <v>7</v>
      </c>
      <c r="F66">
        <v>15</v>
      </c>
      <c r="G66">
        <v>10</v>
      </c>
      <c r="H66">
        <v>9</v>
      </c>
      <c r="I66">
        <v>4</v>
      </c>
      <c r="J66">
        <v>12</v>
      </c>
      <c r="K66">
        <v>6</v>
      </c>
      <c r="L66">
        <v>9</v>
      </c>
      <c r="M66">
        <v>6</v>
      </c>
      <c r="N66">
        <v>2</v>
      </c>
      <c r="O66">
        <v>14</v>
      </c>
      <c r="P66">
        <v>15</v>
      </c>
      <c r="Q66">
        <v>13</v>
      </c>
      <c r="R66">
        <v>17</v>
      </c>
      <c r="S66">
        <v>13</v>
      </c>
      <c r="T66">
        <v>15</v>
      </c>
      <c r="U66">
        <v>18</v>
      </c>
    </row>
    <row r="67" spans="1:21" hidden="1" x14ac:dyDescent="0.25">
      <c r="A67">
        <v>2020</v>
      </c>
      <c r="B67" t="s">
        <v>32</v>
      </c>
      <c r="C67">
        <v>409</v>
      </c>
      <c r="D67">
        <v>20</v>
      </c>
      <c r="E67">
        <v>35</v>
      </c>
      <c r="F67">
        <v>31</v>
      </c>
      <c r="G67">
        <v>41</v>
      </c>
      <c r="H67">
        <v>59</v>
      </c>
      <c r="I67">
        <v>39</v>
      </c>
      <c r="J67">
        <v>20</v>
      </c>
      <c r="K67">
        <v>34</v>
      </c>
      <c r="L67">
        <v>39</v>
      </c>
      <c r="M67">
        <v>35</v>
      </c>
      <c r="N67">
        <v>17</v>
      </c>
      <c r="O67">
        <v>75</v>
      </c>
      <c r="P67">
        <v>55</v>
      </c>
      <c r="Q67">
        <v>52</v>
      </c>
      <c r="R67">
        <v>66</v>
      </c>
      <c r="S67">
        <v>49</v>
      </c>
      <c r="T67">
        <v>48</v>
      </c>
      <c r="U67">
        <v>64</v>
      </c>
    </row>
    <row r="68" spans="1:21" hidden="1" x14ac:dyDescent="0.25">
      <c r="A68">
        <v>2020</v>
      </c>
      <c r="B68" t="s">
        <v>33</v>
      </c>
      <c r="C68">
        <v>250</v>
      </c>
      <c r="D68">
        <v>20</v>
      </c>
      <c r="E68">
        <v>14</v>
      </c>
      <c r="F68">
        <v>24</v>
      </c>
      <c r="G68">
        <v>11</v>
      </c>
      <c r="H68">
        <v>22</v>
      </c>
      <c r="I68">
        <v>22</v>
      </c>
      <c r="J68">
        <v>28</v>
      </c>
      <c r="K68">
        <v>19</v>
      </c>
      <c r="L68">
        <v>32</v>
      </c>
      <c r="M68">
        <v>18</v>
      </c>
      <c r="N68">
        <v>17</v>
      </c>
      <c r="O68">
        <v>35</v>
      </c>
      <c r="P68">
        <v>44</v>
      </c>
      <c r="Q68">
        <v>38</v>
      </c>
      <c r="R68">
        <v>28</v>
      </c>
      <c r="S68">
        <v>38</v>
      </c>
      <c r="T68">
        <v>35</v>
      </c>
      <c r="U68">
        <v>32</v>
      </c>
    </row>
    <row r="69" spans="1:21" hidden="1" x14ac:dyDescent="0.25">
      <c r="A69">
        <v>2020</v>
      </c>
      <c r="B69" t="s">
        <v>34</v>
      </c>
      <c r="C69">
        <v>243</v>
      </c>
      <c r="D69">
        <v>23</v>
      </c>
      <c r="E69">
        <v>17</v>
      </c>
      <c r="F69">
        <v>22</v>
      </c>
      <c r="G69">
        <v>23</v>
      </c>
      <c r="H69">
        <v>21</v>
      </c>
      <c r="I69">
        <v>18</v>
      </c>
      <c r="J69">
        <v>24</v>
      </c>
      <c r="K69">
        <v>17</v>
      </c>
      <c r="L69">
        <v>24</v>
      </c>
      <c r="M69">
        <v>10</v>
      </c>
      <c r="N69">
        <v>15</v>
      </c>
      <c r="O69">
        <v>35</v>
      </c>
      <c r="P69">
        <v>36</v>
      </c>
      <c r="Q69">
        <v>40</v>
      </c>
      <c r="R69">
        <v>38</v>
      </c>
      <c r="S69">
        <v>24</v>
      </c>
      <c r="T69">
        <v>31</v>
      </c>
      <c r="U69">
        <v>39</v>
      </c>
    </row>
    <row r="70" spans="1:21" hidden="1" x14ac:dyDescent="0.25">
      <c r="A70">
        <v>2020</v>
      </c>
      <c r="B70" t="s">
        <v>35</v>
      </c>
      <c r="C70">
        <v>377</v>
      </c>
      <c r="D70">
        <v>29</v>
      </c>
      <c r="E70">
        <v>30</v>
      </c>
      <c r="F70">
        <v>35</v>
      </c>
      <c r="G70">
        <v>40</v>
      </c>
      <c r="H70">
        <v>29</v>
      </c>
      <c r="I70">
        <v>37</v>
      </c>
      <c r="J70">
        <v>26</v>
      </c>
      <c r="K70">
        <v>19</v>
      </c>
      <c r="L70">
        <v>19</v>
      </c>
      <c r="M70">
        <v>31</v>
      </c>
      <c r="N70">
        <v>29</v>
      </c>
      <c r="O70">
        <v>55</v>
      </c>
      <c r="P70">
        <v>62</v>
      </c>
      <c r="Q70">
        <v>60</v>
      </c>
      <c r="R70">
        <v>48</v>
      </c>
      <c r="S70">
        <v>53</v>
      </c>
      <c r="T70">
        <v>50</v>
      </c>
      <c r="U70">
        <v>49</v>
      </c>
    </row>
    <row r="71" spans="1:21" hidden="1" x14ac:dyDescent="0.25">
      <c r="A71">
        <v>2020</v>
      </c>
      <c r="B71" t="s">
        <v>36</v>
      </c>
      <c r="C71">
        <v>375</v>
      </c>
      <c r="D71">
        <v>14</v>
      </c>
      <c r="E71">
        <v>29</v>
      </c>
      <c r="F71">
        <v>32</v>
      </c>
      <c r="G71">
        <v>29</v>
      </c>
      <c r="H71">
        <v>29</v>
      </c>
      <c r="I71">
        <v>30</v>
      </c>
      <c r="J71">
        <v>38</v>
      </c>
      <c r="K71">
        <v>38</v>
      </c>
      <c r="L71">
        <v>51</v>
      </c>
      <c r="M71">
        <v>29</v>
      </c>
      <c r="N71">
        <v>16</v>
      </c>
      <c r="O71">
        <v>63</v>
      </c>
      <c r="P71">
        <v>50</v>
      </c>
      <c r="Q71">
        <v>61</v>
      </c>
      <c r="R71">
        <v>47</v>
      </c>
      <c r="S71">
        <v>58</v>
      </c>
      <c r="T71">
        <v>47</v>
      </c>
      <c r="U71">
        <v>49</v>
      </c>
    </row>
    <row r="72" spans="1:21" hidden="1" x14ac:dyDescent="0.25">
      <c r="A72">
        <v>2020</v>
      </c>
      <c r="B72" t="s">
        <v>37</v>
      </c>
      <c r="C72">
        <v>423</v>
      </c>
      <c r="D72">
        <v>26</v>
      </c>
      <c r="E72">
        <v>48</v>
      </c>
      <c r="F72">
        <v>43</v>
      </c>
      <c r="G72">
        <v>40</v>
      </c>
      <c r="H72">
        <v>38</v>
      </c>
      <c r="I72">
        <v>30</v>
      </c>
      <c r="J72">
        <v>23</v>
      </c>
      <c r="K72">
        <v>29</v>
      </c>
      <c r="L72">
        <v>38</v>
      </c>
      <c r="M72">
        <v>39</v>
      </c>
      <c r="N72">
        <v>20</v>
      </c>
      <c r="O72">
        <v>83</v>
      </c>
      <c r="P72">
        <v>61</v>
      </c>
      <c r="Q72">
        <v>62</v>
      </c>
      <c r="R72">
        <v>57</v>
      </c>
      <c r="S72">
        <v>52</v>
      </c>
      <c r="T72">
        <v>58</v>
      </c>
      <c r="U72">
        <v>50</v>
      </c>
    </row>
    <row r="73" spans="1:21" hidden="1" x14ac:dyDescent="0.25">
      <c r="A73">
        <v>2020</v>
      </c>
      <c r="B73" t="s">
        <v>38</v>
      </c>
      <c r="C73">
        <v>5165</v>
      </c>
      <c r="D73">
        <v>349</v>
      </c>
      <c r="E73">
        <v>415</v>
      </c>
      <c r="F73">
        <v>452</v>
      </c>
      <c r="G73">
        <v>481</v>
      </c>
      <c r="H73">
        <v>490</v>
      </c>
      <c r="I73">
        <v>430</v>
      </c>
      <c r="J73">
        <v>399</v>
      </c>
      <c r="K73">
        <v>429</v>
      </c>
      <c r="L73">
        <v>524</v>
      </c>
      <c r="M73">
        <v>387</v>
      </c>
      <c r="N73">
        <v>271</v>
      </c>
      <c r="O73">
        <v>845</v>
      </c>
      <c r="P73">
        <v>736</v>
      </c>
      <c r="Q73">
        <v>765</v>
      </c>
      <c r="R73">
        <v>742</v>
      </c>
      <c r="S73">
        <v>668</v>
      </c>
      <c r="T73">
        <v>712</v>
      </c>
      <c r="U73">
        <v>697</v>
      </c>
    </row>
    <row r="74" spans="1:21" hidden="1" x14ac:dyDescent="0.25">
      <c r="A74">
        <v>2021</v>
      </c>
      <c r="B74" t="s">
        <v>21</v>
      </c>
      <c r="C74">
        <v>278</v>
      </c>
      <c r="D74">
        <v>23</v>
      </c>
      <c r="E74">
        <v>22</v>
      </c>
      <c r="F74">
        <v>24</v>
      </c>
      <c r="G74">
        <v>19</v>
      </c>
      <c r="H74">
        <v>19</v>
      </c>
      <c r="I74">
        <v>33</v>
      </c>
      <c r="J74">
        <v>25</v>
      </c>
      <c r="K74">
        <v>20</v>
      </c>
      <c r="L74">
        <v>29</v>
      </c>
      <c r="M74">
        <v>25</v>
      </c>
      <c r="N74">
        <v>14</v>
      </c>
      <c r="O74">
        <v>46</v>
      </c>
      <c r="P74">
        <v>44</v>
      </c>
      <c r="Q74">
        <v>42</v>
      </c>
      <c r="R74">
        <v>32</v>
      </c>
      <c r="S74">
        <v>38</v>
      </c>
      <c r="T74">
        <v>34</v>
      </c>
      <c r="U74">
        <v>42</v>
      </c>
    </row>
    <row r="75" spans="1:21" hidden="1" x14ac:dyDescent="0.25">
      <c r="A75">
        <v>2021</v>
      </c>
      <c r="B75" t="s">
        <v>22</v>
      </c>
      <c r="C75">
        <v>147</v>
      </c>
      <c r="D75">
        <v>6</v>
      </c>
      <c r="E75">
        <v>10</v>
      </c>
      <c r="F75">
        <v>18</v>
      </c>
      <c r="G75">
        <v>12</v>
      </c>
      <c r="H75">
        <v>13</v>
      </c>
      <c r="I75">
        <v>14</v>
      </c>
      <c r="J75">
        <v>12</v>
      </c>
      <c r="K75">
        <v>17</v>
      </c>
      <c r="L75">
        <v>12</v>
      </c>
      <c r="M75">
        <v>17</v>
      </c>
      <c r="N75">
        <v>7</v>
      </c>
      <c r="O75">
        <v>26</v>
      </c>
      <c r="P75">
        <v>18</v>
      </c>
      <c r="Q75">
        <v>16</v>
      </c>
      <c r="R75">
        <v>25</v>
      </c>
      <c r="S75">
        <v>21</v>
      </c>
      <c r="T75">
        <v>18</v>
      </c>
      <c r="U75">
        <v>23</v>
      </c>
    </row>
    <row r="76" spans="1:21" hidden="1" x14ac:dyDescent="0.25">
      <c r="A76">
        <v>2021</v>
      </c>
      <c r="B76" t="s">
        <v>23</v>
      </c>
      <c r="C76">
        <v>320</v>
      </c>
      <c r="D76">
        <v>28</v>
      </c>
      <c r="E76">
        <v>27</v>
      </c>
      <c r="F76">
        <v>30</v>
      </c>
      <c r="G76">
        <v>25</v>
      </c>
      <c r="H76">
        <v>30</v>
      </c>
      <c r="I76">
        <v>32</v>
      </c>
      <c r="J76">
        <v>24</v>
      </c>
      <c r="K76">
        <v>27</v>
      </c>
      <c r="L76">
        <v>23</v>
      </c>
      <c r="M76">
        <v>20</v>
      </c>
      <c r="N76">
        <v>16</v>
      </c>
      <c r="O76">
        <v>47</v>
      </c>
      <c r="P76">
        <v>47</v>
      </c>
      <c r="Q76">
        <v>38</v>
      </c>
      <c r="R76">
        <v>50</v>
      </c>
      <c r="S76">
        <v>36</v>
      </c>
      <c r="T76">
        <v>43</v>
      </c>
      <c r="U76">
        <v>59</v>
      </c>
    </row>
    <row r="77" spans="1:21" hidden="1" x14ac:dyDescent="0.25">
      <c r="A77">
        <v>2021</v>
      </c>
      <c r="B77" t="s">
        <v>24</v>
      </c>
      <c r="C77">
        <v>177</v>
      </c>
      <c r="D77">
        <v>12</v>
      </c>
      <c r="E77">
        <v>4</v>
      </c>
      <c r="F77">
        <v>16</v>
      </c>
      <c r="G77">
        <v>21</v>
      </c>
      <c r="H77">
        <v>20</v>
      </c>
      <c r="I77">
        <v>13</v>
      </c>
      <c r="J77">
        <v>8</v>
      </c>
      <c r="K77">
        <v>14</v>
      </c>
      <c r="L77">
        <v>24</v>
      </c>
      <c r="M77">
        <v>14</v>
      </c>
      <c r="N77">
        <v>6</v>
      </c>
      <c r="O77">
        <v>23</v>
      </c>
      <c r="P77">
        <v>30</v>
      </c>
      <c r="Q77">
        <v>16</v>
      </c>
      <c r="R77">
        <v>31</v>
      </c>
      <c r="S77">
        <v>31</v>
      </c>
      <c r="T77">
        <v>19</v>
      </c>
      <c r="U77">
        <v>27</v>
      </c>
    </row>
    <row r="78" spans="1:21" hidden="1" x14ac:dyDescent="0.25">
      <c r="A78">
        <v>2021</v>
      </c>
      <c r="B78" t="s">
        <v>25</v>
      </c>
      <c r="C78">
        <v>582</v>
      </c>
      <c r="D78">
        <v>38</v>
      </c>
      <c r="E78">
        <v>41</v>
      </c>
      <c r="F78">
        <v>59</v>
      </c>
      <c r="G78">
        <v>67</v>
      </c>
      <c r="H78">
        <v>50</v>
      </c>
      <c r="I78">
        <v>53</v>
      </c>
      <c r="J78">
        <v>41</v>
      </c>
      <c r="K78">
        <v>53</v>
      </c>
      <c r="L78">
        <v>50</v>
      </c>
      <c r="M78">
        <v>32</v>
      </c>
      <c r="N78">
        <v>32</v>
      </c>
      <c r="O78">
        <v>103</v>
      </c>
      <c r="P78">
        <v>84</v>
      </c>
      <c r="Q78">
        <v>76</v>
      </c>
      <c r="R78">
        <v>72</v>
      </c>
      <c r="S78">
        <v>92</v>
      </c>
      <c r="T78">
        <v>78</v>
      </c>
      <c r="U78">
        <v>77</v>
      </c>
    </row>
    <row r="79" spans="1:21" hidden="1" x14ac:dyDescent="0.25">
      <c r="A79">
        <v>2021</v>
      </c>
      <c r="B79" t="s">
        <v>26</v>
      </c>
      <c r="C79">
        <v>188</v>
      </c>
      <c r="D79">
        <v>8</v>
      </c>
      <c r="E79">
        <v>18</v>
      </c>
      <c r="F79">
        <v>8</v>
      </c>
      <c r="G79">
        <v>23</v>
      </c>
      <c r="H79">
        <v>20</v>
      </c>
      <c r="I79">
        <v>16</v>
      </c>
      <c r="J79">
        <v>13</v>
      </c>
      <c r="K79">
        <v>20</v>
      </c>
      <c r="L79">
        <v>17</v>
      </c>
      <c r="M79">
        <v>19</v>
      </c>
      <c r="N79">
        <v>10</v>
      </c>
      <c r="O79">
        <v>32</v>
      </c>
      <c r="P79">
        <v>29</v>
      </c>
      <c r="Q79">
        <v>29</v>
      </c>
      <c r="R79">
        <v>13</v>
      </c>
      <c r="S79">
        <v>34</v>
      </c>
      <c r="T79">
        <v>24</v>
      </c>
      <c r="U79">
        <v>27</v>
      </c>
    </row>
    <row r="80" spans="1:21" hidden="1" x14ac:dyDescent="0.25">
      <c r="A80">
        <v>2021</v>
      </c>
      <c r="B80" t="s">
        <v>27</v>
      </c>
      <c r="C80">
        <v>422</v>
      </c>
      <c r="D80">
        <v>27</v>
      </c>
      <c r="E80">
        <v>23</v>
      </c>
      <c r="F80">
        <v>37</v>
      </c>
      <c r="G80">
        <v>47</v>
      </c>
      <c r="H80">
        <v>37</v>
      </c>
      <c r="I80">
        <v>39</v>
      </c>
      <c r="J80">
        <v>41</v>
      </c>
      <c r="K80">
        <v>35</v>
      </c>
      <c r="L80">
        <v>38</v>
      </c>
      <c r="M80">
        <v>28</v>
      </c>
      <c r="N80">
        <v>17</v>
      </c>
      <c r="O80">
        <v>73</v>
      </c>
      <c r="P80">
        <v>66</v>
      </c>
      <c r="Q80">
        <v>53</v>
      </c>
      <c r="R80">
        <v>56</v>
      </c>
      <c r="S80">
        <v>62</v>
      </c>
      <c r="T80">
        <v>50</v>
      </c>
      <c r="U80">
        <v>62</v>
      </c>
    </row>
    <row r="81" spans="1:21" hidden="1" x14ac:dyDescent="0.25">
      <c r="A81">
        <v>2021</v>
      </c>
      <c r="B81" t="s">
        <v>28</v>
      </c>
      <c r="C81">
        <v>325</v>
      </c>
      <c r="D81">
        <v>15</v>
      </c>
      <c r="E81">
        <v>21</v>
      </c>
      <c r="F81">
        <v>25</v>
      </c>
      <c r="G81">
        <v>33</v>
      </c>
      <c r="H81">
        <v>26</v>
      </c>
      <c r="I81">
        <v>26</v>
      </c>
      <c r="J81">
        <v>23</v>
      </c>
      <c r="K81">
        <v>41</v>
      </c>
      <c r="L81">
        <v>31</v>
      </c>
      <c r="M81">
        <v>20</v>
      </c>
      <c r="N81">
        <v>20</v>
      </c>
      <c r="O81">
        <v>48</v>
      </c>
      <c r="P81">
        <v>52</v>
      </c>
      <c r="Q81">
        <v>50</v>
      </c>
      <c r="R81">
        <v>41</v>
      </c>
      <c r="S81">
        <v>50</v>
      </c>
      <c r="T81">
        <v>36</v>
      </c>
      <c r="U81">
        <v>48</v>
      </c>
    </row>
    <row r="82" spans="1:21" hidden="1" x14ac:dyDescent="0.25">
      <c r="A82">
        <v>2021</v>
      </c>
      <c r="B82" t="s">
        <v>29</v>
      </c>
      <c r="C82">
        <v>321</v>
      </c>
      <c r="D82">
        <v>18</v>
      </c>
      <c r="E82">
        <v>23</v>
      </c>
      <c r="F82">
        <v>29</v>
      </c>
      <c r="G82">
        <v>21</v>
      </c>
      <c r="H82">
        <v>26</v>
      </c>
      <c r="I82">
        <v>32</v>
      </c>
      <c r="J82">
        <v>22</v>
      </c>
      <c r="K82">
        <v>35</v>
      </c>
      <c r="L82">
        <v>35</v>
      </c>
      <c r="M82">
        <v>30</v>
      </c>
      <c r="N82">
        <v>16</v>
      </c>
      <c r="O82">
        <v>46</v>
      </c>
      <c r="P82">
        <v>46</v>
      </c>
      <c r="Q82">
        <v>35</v>
      </c>
      <c r="R82">
        <v>48</v>
      </c>
      <c r="S82">
        <v>49</v>
      </c>
      <c r="T82">
        <v>39</v>
      </c>
      <c r="U82">
        <v>58</v>
      </c>
    </row>
    <row r="83" spans="1:21" hidden="1" x14ac:dyDescent="0.25">
      <c r="A83">
        <v>2021</v>
      </c>
      <c r="B83" t="s">
        <v>30</v>
      </c>
      <c r="C83">
        <v>218</v>
      </c>
      <c r="D83">
        <v>14</v>
      </c>
      <c r="E83">
        <v>24</v>
      </c>
      <c r="F83">
        <v>19</v>
      </c>
      <c r="G83">
        <v>18</v>
      </c>
      <c r="H83">
        <v>19</v>
      </c>
      <c r="I83">
        <v>22</v>
      </c>
      <c r="J83">
        <v>10</v>
      </c>
      <c r="K83">
        <v>26</v>
      </c>
      <c r="L83">
        <v>20</v>
      </c>
      <c r="M83">
        <v>20</v>
      </c>
      <c r="N83">
        <v>15</v>
      </c>
      <c r="O83">
        <v>46</v>
      </c>
      <c r="P83">
        <v>32</v>
      </c>
      <c r="Q83">
        <v>34</v>
      </c>
      <c r="R83">
        <v>27</v>
      </c>
      <c r="S83">
        <v>26</v>
      </c>
      <c r="T83">
        <v>21</v>
      </c>
      <c r="U83">
        <v>32</v>
      </c>
    </row>
    <row r="84" spans="1:21" hidden="1" x14ac:dyDescent="0.25">
      <c r="A84">
        <v>2021</v>
      </c>
      <c r="B84" t="s">
        <v>31</v>
      </c>
      <c r="C84">
        <v>120</v>
      </c>
      <c r="D84">
        <v>7</v>
      </c>
      <c r="E84">
        <v>7</v>
      </c>
      <c r="F84">
        <v>11</v>
      </c>
      <c r="G84">
        <v>16</v>
      </c>
      <c r="H84">
        <v>8</v>
      </c>
      <c r="I84">
        <v>7</v>
      </c>
      <c r="J84">
        <v>13</v>
      </c>
      <c r="K84">
        <v>12</v>
      </c>
      <c r="L84">
        <v>9</v>
      </c>
      <c r="M84">
        <v>4</v>
      </c>
      <c r="N84">
        <v>10</v>
      </c>
      <c r="O84">
        <v>18</v>
      </c>
      <c r="P84">
        <v>21</v>
      </c>
      <c r="Q84">
        <v>16</v>
      </c>
      <c r="R84">
        <v>15</v>
      </c>
      <c r="S84">
        <v>10</v>
      </c>
      <c r="T84">
        <v>24</v>
      </c>
      <c r="U84">
        <v>16</v>
      </c>
    </row>
    <row r="85" spans="1:21" hidden="1" x14ac:dyDescent="0.25">
      <c r="A85">
        <v>2021</v>
      </c>
      <c r="B85" t="s">
        <v>32</v>
      </c>
      <c r="C85">
        <v>413</v>
      </c>
      <c r="D85">
        <v>25</v>
      </c>
      <c r="E85">
        <v>34</v>
      </c>
      <c r="F85">
        <v>31</v>
      </c>
      <c r="G85">
        <v>40</v>
      </c>
      <c r="H85">
        <v>47</v>
      </c>
      <c r="I85">
        <v>28</v>
      </c>
      <c r="J85">
        <v>40</v>
      </c>
      <c r="K85">
        <v>37</v>
      </c>
      <c r="L85">
        <v>33</v>
      </c>
      <c r="M85">
        <v>30</v>
      </c>
      <c r="N85">
        <v>20</v>
      </c>
      <c r="O85">
        <v>68</v>
      </c>
      <c r="P85">
        <v>55</v>
      </c>
      <c r="Q85">
        <v>70</v>
      </c>
      <c r="R85">
        <v>51</v>
      </c>
      <c r="S85">
        <v>54</v>
      </c>
      <c r="T85">
        <v>58</v>
      </c>
      <c r="U85">
        <v>57</v>
      </c>
    </row>
    <row r="86" spans="1:21" hidden="1" x14ac:dyDescent="0.25">
      <c r="A86">
        <v>2021</v>
      </c>
      <c r="B86" t="s">
        <v>33</v>
      </c>
      <c r="C86">
        <v>269</v>
      </c>
      <c r="D86">
        <v>21</v>
      </c>
      <c r="E86">
        <v>11</v>
      </c>
      <c r="F86">
        <v>23</v>
      </c>
      <c r="G86">
        <v>25</v>
      </c>
      <c r="H86">
        <v>22</v>
      </c>
      <c r="I86">
        <v>26</v>
      </c>
      <c r="J86">
        <v>28</v>
      </c>
      <c r="K86">
        <v>24</v>
      </c>
      <c r="L86">
        <v>29</v>
      </c>
      <c r="M86">
        <v>16</v>
      </c>
      <c r="N86">
        <v>14</v>
      </c>
      <c r="O86">
        <v>44</v>
      </c>
      <c r="P86">
        <v>45</v>
      </c>
      <c r="Q86">
        <v>37</v>
      </c>
      <c r="R86">
        <v>40</v>
      </c>
      <c r="S86">
        <v>31</v>
      </c>
      <c r="T86">
        <v>28</v>
      </c>
      <c r="U86">
        <v>44</v>
      </c>
    </row>
    <row r="87" spans="1:21" hidden="1" x14ac:dyDescent="0.25">
      <c r="A87">
        <v>2021</v>
      </c>
      <c r="B87" t="s">
        <v>34</v>
      </c>
      <c r="C87">
        <v>245</v>
      </c>
      <c r="D87">
        <v>16</v>
      </c>
      <c r="E87">
        <v>23</v>
      </c>
      <c r="F87">
        <v>28</v>
      </c>
      <c r="G87">
        <v>26</v>
      </c>
      <c r="H87">
        <v>24</v>
      </c>
      <c r="I87">
        <v>16</v>
      </c>
      <c r="J87">
        <v>18</v>
      </c>
      <c r="K87">
        <v>14</v>
      </c>
      <c r="L87">
        <v>17</v>
      </c>
      <c r="M87">
        <v>18</v>
      </c>
      <c r="N87">
        <v>21</v>
      </c>
      <c r="O87">
        <v>34</v>
      </c>
      <c r="P87">
        <v>41</v>
      </c>
      <c r="Q87">
        <v>34</v>
      </c>
      <c r="R87">
        <v>38</v>
      </c>
      <c r="S87">
        <v>28</v>
      </c>
      <c r="T87">
        <v>38</v>
      </c>
      <c r="U87">
        <v>32</v>
      </c>
    </row>
    <row r="88" spans="1:21" hidden="1" x14ac:dyDescent="0.25">
      <c r="A88">
        <v>2021</v>
      </c>
      <c r="B88" t="s">
        <v>35</v>
      </c>
      <c r="C88">
        <v>407</v>
      </c>
      <c r="D88">
        <v>43</v>
      </c>
      <c r="E88">
        <v>39</v>
      </c>
      <c r="F88">
        <v>37</v>
      </c>
      <c r="G88">
        <v>36</v>
      </c>
      <c r="H88">
        <v>39</v>
      </c>
      <c r="I88">
        <v>44</v>
      </c>
      <c r="J88">
        <v>37</v>
      </c>
      <c r="K88">
        <v>22</v>
      </c>
      <c r="L88">
        <v>21</v>
      </c>
      <c r="M88">
        <v>20</v>
      </c>
      <c r="N88">
        <v>19</v>
      </c>
      <c r="O88">
        <v>69</v>
      </c>
      <c r="P88">
        <v>58</v>
      </c>
      <c r="Q88">
        <v>57</v>
      </c>
      <c r="R88">
        <v>53</v>
      </c>
      <c r="S88">
        <v>63</v>
      </c>
      <c r="T88">
        <v>49</v>
      </c>
      <c r="U88">
        <v>58</v>
      </c>
    </row>
    <row r="89" spans="1:21" hidden="1" x14ac:dyDescent="0.25">
      <c r="A89">
        <v>2021</v>
      </c>
      <c r="B89" t="s">
        <v>36</v>
      </c>
      <c r="C89">
        <v>359</v>
      </c>
      <c r="D89">
        <v>22</v>
      </c>
      <c r="E89">
        <v>26</v>
      </c>
      <c r="F89">
        <v>31</v>
      </c>
      <c r="G89">
        <v>36</v>
      </c>
      <c r="H89">
        <v>47</v>
      </c>
      <c r="I89">
        <v>34</v>
      </c>
      <c r="J89">
        <v>30</v>
      </c>
      <c r="K89">
        <v>34</v>
      </c>
      <c r="L89">
        <v>29</v>
      </c>
      <c r="M89">
        <v>32</v>
      </c>
      <c r="N89">
        <v>19</v>
      </c>
      <c r="O89">
        <v>63</v>
      </c>
      <c r="P89">
        <v>55</v>
      </c>
      <c r="Q89">
        <v>46</v>
      </c>
      <c r="R89">
        <v>53</v>
      </c>
      <c r="S89">
        <v>50</v>
      </c>
      <c r="T89">
        <v>56</v>
      </c>
      <c r="U89">
        <v>36</v>
      </c>
    </row>
    <row r="90" spans="1:21" hidden="1" x14ac:dyDescent="0.25">
      <c r="A90">
        <v>2021</v>
      </c>
      <c r="B90" t="s">
        <v>37</v>
      </c>
      <c r="C90">
        <v>410</v>
      </c>
      <c r="D90">
        <v>21</v>
      </c>
      <c r="E90">
        <v>31</v>
      </c>
      <c r="F90">
        <v>41</v>
      </c>
      <c r="G90">
        <v>40</v>
      </c>
      <c r="H90">
        <v>45</v>
      </c>
      <c r="I90">
        <v>30</v>
      </c>
      <c r="J90">
        <v>24</v>
      </c>
      <c r="K90">
        <v>35</v>
      </c>
      <c r="L90">
        <v>37</v>
      </c>
      <c r="M90">
        <v>33</v>
      </c>
      <c r="N90">
        <v>26</v>
      </c>
      <c r="O90">
        <v>73</v>
      </c>
      <c r="P90">
        <v>55</v>
      </c>
      <c r="Q90">
        <v>47</v>
      </c>
      <c r="R90">
        <v>57</v>
      </c>
      <c r="S90">
        <v>60</v>
      </c>
      <c r="T90">
        <v>42</v>
      </c>
      <c r="U90">
        <v>76</v>
      </c>
    </row>
    <row r="91" spans="1:21" hidden="1" x14ac:dyDescent="0.25">
      <c r="A91">
        <v>2021</v>
      </c>
      <c r="B91" t="s">
        <v>38</v>
      </c>
      <c r="C91">
        <v>5201</v>
      </c>
      <c r="D91">
        <v>344</v>
      </c>
      <c r="E91">
        <v>384</v>
      </c>
      <c r="F91">
        <v>467</v>
      </c>
      <c r="G91">
        <v>505</v>
      </c>
      <c r="H91">
        <v>492</v>
      </c>
      <c r="I91">
        <v>465</v>
      </c>
      <c r="J91">
        <v>409</v>
      </c>
      <c r="K91">
        <v>466</v>
      </c>
      <c r="L91">
        <v>454</v>
      </c>
      <c r="M91">
        <v>378</v>
      </c>
      <c r="N91">
        <v>282</v>
      </c>
      <c r="O91">
        <v>859</v>
      </c>
      <c r="P91">
        <v>778</v>
      </c>
      <c r="Q91">
        <v>696</v>
      </c>
      <c r="R91">
        <v>702</v>
      </c>
      <c r="S91">
        <v>735</v>
      </c>
      <c r="T91">
        <v>657</v>
      </c>
      <c r="U91">
        <v>774</v>
      </c>
    </row>
    <row r="92" spans="1:21" hidden="1" x14ac:dyDescent="0.25">
      <c r="A92">
        <v>2022</v>
      </c>
      <c r="B92" t="s">
        <v>21</v>
      </c>
      <c r="C92">
        <v>274</v>
      </c>
      <c r="D92">
        <v>19</v>
      </c>
      <c r="E92">
        <v>15</v>
      </c>
      <c r="F92">
        <v>24</v>
      </c>
      <c r="G92">
        <v>26</v>
      </c>
      <c r="H92">
        <v>32</v>
      </c>
      <c r="I92">
        <v>26</v>
      </c>
      <c r="J92">
        <v>28</v>
      </c>
      <c r="K92">
        <v>12</v>
      </c>
      <c r="L92">
        <v>28</v>
      </c>
      <c r="M92">
        <v>26</v>
      </c>
      <c r="N92">
        <v>10</v>
      </c>
      <c r="O92">
        <v>50</v>
      </c>
      <c r="P92">
        <v>41</v>
      </c>
      <c r="Q92">
        <v>30</v>
      </c>
      <c r="R92">
        <v>39</v>
      </c>
      <c r="S92">
        <v>36</v>
      </c>
      <c r="T92">
        <v>36</v>
      </c>
      <c r="U92">
        <v>42</v>
      </c>
    </row>
    <row r="93" spans="1:21" hidden="1" x14ac:dyDescent="0.25">
      <c r="A93">
        <v>2022</v>
      </c>
      <c r="B93" t="s">
        <v>22</v>
      </c>
      <c r="C93">
        <v>150</v>
      </c>
      <c r="D93">
        <v>11</v>
      </c>
      <c r="E93">
        <v>8</v>
      </c>
      <c r="F93">
        <v>7</v>
      </c>
      <c r="G93">
        <v>18</v>
      </c>
      <c r="H93">
        <v>16</v>
      </c>
      <c r="I93">
        <v>11</v>
      </c>
      <c r="J93">
        <v>15</v>
      </c>
      <c r="K93">
        <v>12</v>
      </c>
      <c r="L93">
        <v>11</v>
      </c>
      <c r="M93">
        <v>13</v>
      </c>
      <c r="N93">
        <v>11</v>
      </c>
      <c r="O93">
        <v>29</v>
      </c>
      <c r="P93">
        <v>22</v>
      </c>
      <c r="Q93">
        <v>19</v>
      </c>
      <c r="R93">
        <v>19</v>
      </c>
      <c r="S93">
        <v>20</v>
      </c>
      <c r="T93">
        <v>21</v>
      </c>
      <c r="U93">
        <v>20</v>
      </c>
    </row>
    <row r="94" spans="1:21" hidden="1" x14ac:dyDescent="0.25">
      <c r="A94">
        <v>2022</v>
      </c>
      <c r="B94" t="s">
        <v>23</v>
      </c>
      <c r="C94">
        <v>332</v>
      </c>
      <c r="D94">
        <v>29</v>
      </c>
      <c r="E94">
        <v>26</v>
      </c>
      <c r="F94">
        <v>44</v>
      </c>
      <c r="G94">
        <v>30</v>
      </c>
      <c r="H94">
        <v>33</v>
      </c>
      <c r="I94">
        <v>29</v>
      </c>
      <c r="J94">
        <v>27</v>
      </c>
      <c r="K94">
        <v>19</v>
      </c>
      <c r="L94">
        <v>20</v>
      </c>
      <c r="M94">
        <v>22</v>
      </c>
      <c r="N94">
        <v>11</v>
      </c>
      <c r="O94">
        <v>63</v>
      </c>
      <c r="P94">
        <v>39</v>
      </c>
      <c r="Q94">
        <v>46</v>
      </c>
      <c r="R94">
        <v>54</v>
      </c>
      <c r="S94">
        <v>37</v>
      </c>
      <c r="T94">
        <v>42</v>
      </c>
      <c r="U94">
        <v>51</v>
      </c>
    </row>
    <row r="95" spans="1:21" hidden="1" x14ac:dyDescent="0.25">
      <c r="A95">
        <v>2022</v>
      </c>
      <c r="B95" t="s">
        <v>24</v>
      </c>
      <c r="C95">
        <v>139</v>
      </c>
      <c r="D95">
        <v>6</v>
      </c>
      <c r="E95">
        <v>11</v>
      </c>
      <c r="F95">
        <v>16</v>
      </c>
      <c r="G95">
        <v>15</v>
      </c>
      <c r="H95">
        <v>11</v>
      </c>
      <c r="I95">
        <v>16</v>
      </c>
      <c r="J95">
        <v>6</v>
      </c>
      <c r="K95">
        <v>9</v>
      </c>
      <c r="L95">
        <v>16</v>
      </c>
      <c r="M95">
        <v>9</v>
      </c>
      <c r="N95">
        <v>6</v>
      </c>
      <c r="O95">
        <v>19</v>
      </c>
      <c r="P95">
        <v>21</v>
      </c>
      <c r="Q95">
        <v>18</v>
      </c>
      <c r="R95">
        <v>17</v>
      </c>
      <c r="S95">
        <v>27</v>
      </c>
      <c r="T95">
        <v>15</v>
      </c>
      <c r="U95">
        <v>22</v>
      </c>
    </row>
    <row r="96" spans="1:21" hidden="1" x14ac:dyDescent="0.25">
      <c r="A96">
        <v>2022</v>
      </c>
      <c r="B96" t="s">
        <v>25</v>
      </c>
      <c r="C96">
        <v>552</v>
      </c>
      <c r="D96">
        <v>45</v>
      </c>
      <c r="E96">
        <v>32</v>
      </c>
      <c r="F96">
        <v>55</v>
      </c>
      <c r="G96">
        <v>61</v>
      </c>
      <c r="H96">
        <v>49</v>
      </c>
      <c r="I96">
        <v>43</v>
      </c>
      <c r="J96">
        <v>41</v>
      </c>
      <c r="K96">
        <v>47</v>
      </c>
      <c r="L96">
        <v>43</v>
      </c>
      <c r="M96">
        <v>40</v>
      </c>
      <c r="N96">
        <v>35</v>
      </c>
      <c r="O96">
        <v>83</v>
      </c>
      <c r="P96">
        <v>75</v>
      </c>
      <c r="Q96">
        <v>102</v>
      </c>
      <c r="R96">
        <v>77</v>
      </c>
      <c r="S96">
        <v>67</v>
      </c>
      <c r="T96">
        <v>73</v>
      </c>
      <c r="U96">
        <v>75</v>
      </c>
    </row>
    <row r="97" spans="1:21" hidden="1" x14ac:dyDescent="0.25">
      <c r="A97">
        <v>2022</v>
      </c>
      <c r="B97" t="s">
        <v>26</v>
      </c>
      <c r="C97">
        <v>150</v>
      </c>
      <c r="D97">
        <v>6</v>
      </c>
      <c r="E97">
        <v>5</v>
      </c>
      <c r="F97">
        <v>14</v>
      </c>
      <c r="G97">
        <v>9</v>
      </c>
      <c r="H97">
        <v>18</v>
      </c>
      <c r="I97">
        <v>14</v>
      </c>
      <c r="J97">
        <v>9</v>
      </c>
      <c r="K97">
        <v>16</v>
      </c>
      <c r="L97">
        <v>19</v>
      </c>
      <c r="M97">
        <v>11</v>
      </c>
      <c r="N97">
        <v>8</v>
      </c>
      <c r="O97">
        <v>25</v>
      </c>
      <c r="P97">
        <v>24</v>
      </c>
      <c r="Q97">
        <v>23</v>
      </c>
      <c r="R97">
        <v>22</v>
      </c>
      <c r="S97">
        <v>16</v>
      </c>
      <c r="T97">
        <v>17</v>
      </c>
      <c r="U97">
        <v>23</v>
      </c>
    </row>
    <row r="98" spans="1:21" hidden="1" x14ac:dyDescent="0.25">
      <c r="A98">
        <v>2022</v>
      </c>
      <c r="B98" t="s">
        <v>27</v>
      </c>
      <c r="C98">
        <v>410</v>
      </c>
      <c r="D98">
        <v>38</v>
      </c>
      <c r="E98">
        <v>22</v>
      </c>
      <c r="F98">
        <v>43</v>
      </c>
      <c r="G98">
        <v>36</v>
      </c>
      <c r="H98">
        <v>33</v>
      </c>
      <c r="I98">
        <v>38</v>
      </c>
      <c r="J98">
        <v>36</v>
      </c>
      <c r="K98">
        <v>33</v>
      </c>
      <c r="L98">
        <v>32</v>
      </c>
      <c r="M98">
        <v>27</v>
      </c>
      <c r="N98">
        <v>25</v>
      </c>
      <c r="O98">
        <v>68</v>
      </c>
      <c r="P98">
        <v>62</v>
      </c>
      <c r="Q98">
        <v>52</v>
      </c>
      <c r="R98">
        <v>39</v>
      </c>
      <c r="S98">
        <v>72</v>
      </c>
      <c r="T98">
        <v>70</v>
      </c>
      <c r="U98">
        <v>47</v>
      </c>
    </row>
    <row r="99" spans="1:21" hidden="1" x14ac:dyDescent="0.25">
      <c r="A99">
        <v>2022</v>
      </c>
      <c r="B99" t="s">
        <v>28</v>
      </c>
      <c r="C99">
        <v>339</v>
      </c>
      <c r="D99">
        <v>14</v>
      </c>
      <c r="E99">
        <v>25</v>
      </c>
      <c r="F99">
        <v>38</v>
      </c>
      <c r="G99">
        <v>34</v>
      </c>
      <c r="H99">
        <v>33</v>
      </c>
      <c r="I99">
        <v>25</v>
      </c>
      <c r="J99">
        <v>25</v>
      </c>
      <c r="K99">
        <v>31</v>
      </c>
      <c r="L99">
        <v>28</v>
      </c>
      <c r="M99">
        <v>23</v>
      </c>
      <c r="N99">
        <v>21</v>
      </c>
      <c r="O99">
        <v>73</v>
      </c>
      <c r="P99">
        <v>37</v>
      </c>
      <c r="Q99">
        <v>42</v>
      </c>
      <c r="R99">
        <v>47</v>
      </c>
      <c r="S99">
        <v>48</v>
      </c>
      <c r="T99">
        <v>38</v>
      </c>
      <c r="U99">
        <v>54</v>
      </c>
    </row>
    <row r="100" spans="1:21" hidden="1" x14ac:dyDescent="0.25">
      <c r="A100">
        <v>2022</v>
      </c>
      <c r="B100" t="s">
        <v>29</v>
      </c>
      <c r="C100">
        <v>317</v>
      </c>
      <c r="D100">
        <v>12</v>
      </c>
      <c r="E100">
        <v>20</v>
      </c>
      <c r="F100">
        <v>17</v>
      </c>
      <c r="G100">
        <v>35</v>
      </c>
      <c r="H100">
        <v>29</v>
      </c>
      <c r="I100">
        <v>30</v>
      </c>
      <c r="J100">
        <v>29</v>
      </c>
      <c r="K100">
        <v>32</v>
      </c>
      <c r="L100">
        <v>27</v>
      </c>
      <c r="M100">
        <v>30</v>
      </c>
      <c r="N100">
        <v>18</v>
      </c>
      <c r="O100">
        <v>46</v>
      </c>
      <c r="P100">
        <v>46</v>
      </c>
      <c r="Q100">
        <v>45</v>
      </c>
      <c r="R100">
        <v>63</v>
      </c>
      <c r="S100">
        <v>39</v>
      </c>
      <c r="T100">
        <v>38</v>
      </c>
      <c r="U100">
        <v>40</v>
      </c>
    </row>
    <row r="101" spans="1:21" hidden="1" x14ac:dyDescent="0.25">
      <c r="A101">
        <v>2022</v>
      </c>
      <c r="B101" t="s">
        <v>30</v>
      </c>
      <c r="C101">
        <v>247</v>
      </c>
      <c r="D101">
        <v>12</v>
      </c>
      <c r="E101">
        <v>11</v>
      </c>
      <c r="F101">
        <v>24</v>
      </c>
      <c r="G101">
        <v>28</v>
      </c>
      <c r="H101">
        <v>24</v>
      </c>
      <c r="I101">
        <v>27</v>
      </c>
      <c r="J101">
        <v>22</v>
      </c>
      <c r="K101">
        <v>17</v>
      </c>
      <c r="L101">
        <v>27</v>
      </c>
      <c r="M101">
        <v>19</v>
      </c>
      <c r="N101">
        <v>12</v>
      </c>
      <c r="O101">
        <v>36</v>
      </c>
      <c r="P101">
        <v>38</v>
      </c>
      <c r="Q101">
        <v>43</v>
      </c>
      <c r="R101">
        <v>34</v>
      </c>
      <c r="S101">
        <v>33</v>
      </c>
      <c r="T101">
        <v>34</v>
      </c>
      <c r="U101">
        <v>29</v>
      </c>
    </row>
    <row r="102" spans="1:21" hidden="1" x14ac:dyDescent="0.25">
      <c r="A102">
        <v>2022</v>
      </c>
      <c r="B102" t="s">
        <v>31</v>
      </c>
      <c r="C102">
        <v>136</v>
      </c>
      <c r="D102">
        <v>5</v>
      </c>
      <c r="E102">
        <v>8</v>
      </c>
      <c r="F102">
        <v>14</v>
      </c>
      <c r="G102">
        <v>14</v>
      </c>
      <c r="H102">
        <v>10</v>
      </c>
      <c r="I102">
        <v>8</v>
      </c>
      <c r="J102">
        <v>10</v>
      </c>
      <c r="K102">
        <v>12</v>
      </c>
      <c r="L102">
        <v>18</v>
      </c>
      <c r="M102">
        <v>13</v>
      </c>
      <c r="N102">
        <v>6</v>
      </c>
      <c r="O102">
        <v>18</v>
      </c>
      <c r="P102">
        <v>23</v>
      </c>
      <c r="Q102">
        <v>20</v>
      </c>
      <c r="R102">
        <v>24</v>
      </c>
      <c r="S102">
        <v>21</v>
      </c>
      <c r="T102">
        <v>15</v>
      </c>
      <c r="U102">
        <v>15</v>
      </c>
    </row>
    <row r="103" spans="1:21" hidden="1" x14ac:dyDescent="0.25">
      <c r="A103">
        <v>2022</v>
      </c>
      <c r="B103" t="s">
        <v>32</v>
      </c>
      <c r="C103">
        <v>405</v>
      </c>
      <c r="D103">
        <v>24</v>
      </c>
      <c r="E103">
        <v>39</v>
      </c>
      <c r="F103">
        <v>30</v>
      </c>
      <c r="G103">
        <v>38</v>
      </c>
      <c r="H103">
        <v>33</v>
      </c>
      <c r="I103">
        <v>40</v>
      </c>
      <c r="J103">
        <v>41</v>
      </c>
      <c r="K103">
        <v>34</v>
      </c>
      <c r="L103">
        <v>36</v>
      </c>
      <c r="M103">
        <v>20</v>
      </c>
      <c r="N103">
        <v>21</v>
      </c>
      <c r="O103">
        <v>79</v>
      </c>
      <c r="P103">
        <v>56</v>
      </c>
      <c r="Q103">
        <v>56</v>
      </c>
      <c r="R103">
        <v>54</v>
      </c>
      <c r="S103">
        <v>48</v>
      </c>
      <c r="T103">
        <v>53</v>
      </c>
      <c r="U103">
        <v>59</v>
      </c>
    </row>
    <row r="104" spans="1:21" hidden="1" x14ac:dyDescent="0.25">
      <c r="A104">
        <v>2022</v>
      </c>
      <c r="B104" t="s">
        <v>33</v>
      </c>
      <c r="C104">
        <v>267</v>
      </c>
      <c r="D104">
        <v>11</v>
      </c>
      <c r="E104">
        <v>13</v>
      </c>
      <c r="F104">
        <v>27</v>
      </c>
      <c r="G104">
        <v>25</v>
      </c>
      <c r="H104">
        <v>21</v>
      </c>
      <c r="I104">
        <v>22</v>
      </c>
      <c r="J104">
        <v>31</v>
      </c>
      <c r="K104">
        <v>37</v>
      </c>
      <c r="L104">
        <v>26</v>
      </c>
      <c r="M104">
        <v>11</v>
      </c>
      <c r="N104">
        <v>12</v>
      </c>
      <c r="O104">
        <v>51</v>
      </c>
      <c r="P104">
        <v>45</v>
      </c>
      <c r="Q104">
        <v>29</v>
      </c>
      <c r="R104">
        <v>41</v>
      </c>
      <c r="S104">
        <v>29</v>
      </c>
      <c r="T104">
        <v>42</v>
      </c>
      <c r="U104">
        <v>30</v>
      </c>
    </row>
    <row r="105" spans="1:21" hidden="1" x14ac:dyDescent="0.25">
      <c r="A105">
        <v>2022</v>
      </c>
      <c r="B105" t="s">
        <v>34</v>
      </c>
      <c r="C105">
        <v>238</v>
      </c>
      <c r="D105">
        <v>12</v>
      </c>
      <c r="E105">
        <v>20</v>
      </c>
      <c r="F105">
        <v>21</v>
      </c>
      <c r="G105">
        <v>24</v>
      </c>
      <c r="H105">
        <v>24</v>
      </c>
      <c r="I105">
        <v>20</v>
      </c>
      <c r="J105">
        <v>25</v>
      </c>
      <c r="K105">
        <v>12</v>
      </c>
      <c r="L105">
        <v>29</v>
      </c>
      <c r="M105">
        <v>23</v>
      </c>
      <c r="N105">
        <v>10</v>
      </c>
      <c r="O105">
        <v>41</v>
      </c>
      <c r="P105">
        <v>35</v>
      </c>
      <c r="Q105">
        <v>29</v>
      </c>
      <c r="R105">
        <v>25</v>
      </c>
      <c r="S105">
        <v>38</v>
      </c>
      <c r="T105">
        <v>42</v>
      </c>
      <c r="U105">
        <v>28</v>
      </c>
    </row>
    <row r="106" spans="1:21" hidden="1" x14ac:dyDescent="0.25">
      <c r="A106">
        <v>2022</v>
      </c>
      <c r="B106" t="s">
        <v>35</v>
      </c>
      <c r="C106">
        <v>344</v>
      </c>
      <c r="D106">
        <v>23</v>
      </c>
      <c r="E106">
        <v>31</v>
      </c>
      <c r="F106">
        <v>33</v>
      </c>
      <c r="G106">
        <v>30</v>
      </c>
      <c r="H106">
        <v>37</v>
      </c>
      <c r="I106">
        <v>17</v>
      </c>
      <c r="J106">
        <v>26</v>
      </c>
      <c r="K106">
        <v>31</v>
      </c>
      <c r="L106">
        <v>31</v>
      </c>
      <c r="M106">
        <v>19</v>
      </c>
      <c r="N106">
        <v>10</v>
      </c>
      <c r="O106">
        <v>49</v>
      </c>
      <c r="P106">
        <v>55</v>
      </c>
      <c r="Q106">
        <v>58</v>
      </c>
      <c r="R106">
        <v>54</v>
      </c>
      <c r="S106">
        <v>35</v>
      </c>
      <c r="T106">
        <v>53</v>
      </c>
      <c r="U106">
        <v>40</v>
      </c>
    </row>
    <row r="107" spans="1:21" hidden="1" x14ac:dyDescent="0.25">
      <c r="A107">
        <v>2022</v>
      </c>
      <c r="B107" t="s">
        <v>36</v>
      </c>
      <c r="C107">
        <v>397</v>
      </c>
      <c r="D107">
        <v>22</v>
      </c>
      <c r="E107">
        <v>34</v>
      </c>
      <c r="F107">
        <v>34</v>
      </c>
      <c r="G107">
        <v>39</v>
      </c>
      <c r="H107">
        <v>35</v>
      </c>
      <c r="I107">
        <v>31</v>
      </c>
      <c r="J107">
        <v>33</v>
      </c>
      <c r="K107">
        <v>40</v>
      </c>
      <c r="L107">
        <v>41</v>
      </c>
      <c r="M107">
        <v>27</v>
      </c>
      <c r="N107">
        <v>25</v>
      </c>
      <c r="O107">
        <v>58</v>
      </c>
      <c r="P107">
        <v>69</v>
      </c>
      <c r="Q107">
        <v>46</v>
      </c>
      <c r="R107">
        <v>58</v>
      </c>
      <c r="S107">
        <v>57</v>
      </c>
      <c r="T107">
        <v>58</v>
      </c>
      <c r="U107">
        <v>51</v>
      </c>
    </row>
    <row r="108" spans="1:21" hidden="1" x14ac:dyDescent="0.25">
      <c r="A108">
        <v>2022</v>
      </c>
      <c r="B108" t="s">
        <v>37</v>
      </c>
      <c r="C108">
        <v>411</v>
      </c>
      <c r="D108">
        <v>28</v>
      </c>
      <c r="E108">
        <v>36</v>
      </c>
      <c r="F108">
        <v>35</v>
      </c>
      <c r="G108">
        <v>48</v>
      </c>
      <c r="H108">
        <v>27</v>
      </c>
      <c r="I108">
        <v>48</v>
      </c>
      <c r="J108">
        <v>22</v>
      </c>
      <c r="K108">
        <v>34</v>
      </c>
      <c r="L108">
        <v>34</v>
      </c>
      <c r="M108">
        <v>30</v>
      </c>
      <c r="N108">
        <v>21</v>
      </c>
      <c r="O108">
        <v>68</v>
      </c>
      <c r="P108">
        <v>72</v>
      </c>
      <c r="Q108">
        <v>50</v>
      </c>
      <c r="R108">
        <v>65</v>
      </c>
      <c r="S108">
        <v>52</v>
      </c>
      <c r="T108">
        <v>48</v>
      </c>
      <c r="U108">
        <v>56</v>
      </c>
    </row>
    <row r="109" spans="1:21" hidden="1" x14ac:dyDescent="0.25">
      <c r="A109">
        <v>2022</v>
      </c>
      <c r="B109" t="s">
        <v>38</v>
      </c>
      <c r="C109">
        <v>5108</v>
      </c>
      <c r="D109">
        <v>317</v>
      </c>
      <c r="E109">
        <v>356</v>
      </c>
      <c r="F109">
        <v>476</v>
      </c>
      <c r="G109">
        <v>510</v>
      </c>
      <c r="H109">
        <v>465</v>
      </c>
      <c r="I109">
        <v>445</v>
      </c>
      <c r="J109">
        <v>426</v>
      </c>
      <c r="K109">
        <v>428</v>
      </c>
      <c r="L109">
        <v>466</v>
      </c>
      <c r="M109">
        <v>363</v>
      </c>
      <c r="N109">
        <v>262</v>
      </c>
      <c r="O109">
        <v>856</v>
      </c>
      <c r="P109">
        <v>760</v>
      </c>
      <c r="Q109">
        <v>708</v>
      </c>
      <c r="R109">
        <v>732</v>
      </c>
      <c r="S109">
        <v>675</v>
      </c>
      <c r="T109">
        <v>695</v>
      </c>
      <c r="U109">
        <v>682</v>
      </c>
    </row>
    <row r="110" spans="1:21" hidden="1" x14ac:dyDescent="0.25">
      <c r="A110">
        <v>2023</v>
      </c>
      <c r="B110" t="s">
        <v>21</v>
      </c>
      <c r="C110">
        <v>271</v>
      </c>
      <c r="D110">
        <v>18</v>
      </c>
      <c r="E110">
        <v>24</v>
      </c>
      <c r="F110">
        <v>25</v>
      </c>
      <c r="G110">
        <v>31</v>
      </c>
      <c r="H110">
        <v>29</v>
      </c>
      <c r="I110">
        <v>22</v>
      </c>
      <c r="J110">
        <v>24</v>
      </c>
      <c r="K110">
        <v>18</v>
      </c>
      <c r="L110">
        <v>23</v>
      </c>
      <c r="M110">
        <v>15</v>
      </c>
      <c r="N110">
        <v>17</v>
      </c>
      <c r="O110">
        <v>49</v>
      </c>
      <c r="P110">
        <v>38</v>
      </c>
      <c r="Q110">
        <v>32</v>
      </c>
      <c r="R110">
        <v>34</v>
      </c>
      <c r="S110">
        <v>41</v>
      </c>
      <c r="T110">
        <v>35</v>
      </c>
      <c r="U110">
        <v>42</v>
      </c>
    </row>
    <row r="111" spans="1:21" hidden="1" x14ac:dyDescent="0.25">
      <c r="A111">
        <v>2023</v>
      </c>
      <c r="B111" t="s">
        <v>22</v>
      </c>
      <c r="C111">
        <v>188</v>
      </c>
      <c r="D111">
        <v>14</v>
      </c>
      <c r="E111">
        <v>9</v>
      </c>
      <c r="F111">
        <v>19</v>
      </c>
      <c r="G111">
        <v>26</v>
      </c>
      <c r="H111">
        <v>20</v>
      </c>
      <c r="I111">
        <v>21</v>
      </c>
      <c r="J111">
        <v>18</v>
      </c>
      <c r="K111">
        <v>11</v>
      </c>
      <c r="L111">
        <v>17</v>
      </c>
      <c r="M111">
        <v>4</v>
      </c>
      <c r="N111">
        <v>9</v>
      </c>
      <c r="O111">
        <v>36</v>
      </c>
      <c r="P111">
        <v>40</v>
      </c>
      <c r="Q111">
        <v>17</v>
      </c>
      <c r="R111">
        <v>30</v>
      </c>
      <c r="S111">
        <v>25</v>
      </c>
      <c r="T111">
        <v>20</v>
      </c>
      <c r="U111">
        <v>20</v>
      </c>
    </row>
    <row r="112" spans="1:21" hidden="1" x14ac:dyDescent="0.25">
      <c r="A112">
        <v>2023</v>
      </c>
      <c r="B112" t="s">
        <v>23</v>
      </c>
      <c r="C112">
        <v>334</v>
      </c>
      <c r="D112">
        <v>21</v>
      </c>
      <c r="E112">
        <v>31</v>
      </c>
      <c r="F112">
        <v>34</v>
      </c>
      <c r="G112">
        <v>38</v>
      </c>
      <c r="H112">
        <v>33</v>
      </c>
      <c r="I112">
        <v>33</v>
      </c>
      <c r="J112">
        <v>27</v>
      </c>
      <c r="K112">
        <v>25</v>
      </c>
      <c r="L112">
        <v>22</v>
      </c>
      <c r="M112">
        <v>15</v>
      </c>
      <c r="N112">
        <v>17</v>
      </c>
      <c r="O112">
        <v>48</v>
      </c>
      <c r="P112">
        <v>50</v>
      </c>
      <c r="Q112">
        <v>50</v>
      </c>
      <c r="R112">
        <v>42</v>
      </c>
      <c r="S112">
        <v>45</v>
      </c>
      <c r="T112">
        <v>54</v>
      </c>
      <c r="U112">
        <v>45</v>
      </c>
    </row>
    <row r="113" spans="1:21" hidden="1" x14ac:dyDescent="0.25">
      <c r="A113">
        <v>2023</v>
      </c>
      <c r="B113" t="s">
        <v>24</v>
      </c>
      <c r="C113">
        <v>137</v>
      </c>
      <c r="D113">
        <v>4</v>
      </c>
      <c r="E113">
        <v>8</v>
      </c>
      <c r="F113">
        <v>15</v>
      </c>
      <c r="G113">
        <v>19</v>
      </c>
      <c r="H113">
        <v>21</v>
      </c>
      <c r="I113">
        <v>14</v>
      </c>
      <c r="J113">
        <v>8</v>
      </c>
      <c r="K113">
        <v>14</v>
      </c>
      <c r="L113">
        <v>12</v>
      </c>
      <c r="M113">
        <v>7</v>
      </c>
      <c r="N113">
        <v>5</v>
      </c>
      <c r="O113">
        <v>13</v>
      </c>
      <c r="P113">
        <v>26</v>
      </c>
      <c r="Q113">
        <v>22</v>
      </c>
      <c r="R113">
        <v>19</v>
      </c>
      <c r="S113">
        <v>20</v>
      </c>
      <c r="T113">
        <v>20</v>
      </c>
      <c r="U113">
        <v>17</v>
      </c>
    </row>
    <row r="114" spans="1:21" hidden="1" x14ac:dyDescent="0.25">
      <c r="A114">
        <v>2023</v>
      </c>
      <c r="B114" t="s">
        <v>25</v>
      </c>
      <c r="C114">
        <v>577</v>
      </c>
      <c r="D114">
        <v>30</v>
      </c>
      <c r="E114">
        <v>40</v>
      </c>
      <c r="F114">
        <v>60</v>
      </c>
      <c r="G114">
        <v>68</v>
      </c>
      <c r="H114">
        <v>53</v>
      </c>
      <c r="I114">
        <v>53</v>
      </c>
      <c r="J114">
        <v>54</v>
      </c>
      <c r="K114">
        <v>37</v>
      </c>
      <c r="L114">
        <v>52</v>
      </c>
      <c r="M114">
        <v>40</v>
      </c>
      <c r="N114">
        <v>27</v>
      </c>
      <c r="O114">
        <v>87</v>
      </c>
      <c r="P114">
        <v>99</v>
      </c>
      <c r="Q114">
        <v>87</v>
      </c>
      <c r="R114">
        <v>80</v>
      </c>
      <c r="S114">
        <v>63</v>
      </c>
      <c r="T114">
        <v>83</v>
      </c>
      <c r="U114">
        <v>78</v>
      </c>
    </row>
    <row r="115" spans="1:21" hidden="1" x14ac:dyDescent="0.25">
      <c r="A115">
        <v>2023</v>
      </c>
      <c r="B115" t="s">
        <v>26</v>
      </c>
      <c r="C115">
        <v>192</v>
      </c>
      <c r="D115">
        <v>5</v>
      </c>
      <c r="E115">
        <v>10</v>
      </c>
      <c r="F115">
        <v>14</v>
      </c>
      <c r="G115">
        <v>19</v>
      </c>
      <c r="H115">
        <v>19</v>
      </c>
      <c r="I115">
        <v>25</v>
      </c>
      <c r="J115">
        <v>15</v>
      </c>
      <c r="K115">
        <v>27</v>
      </c>
      <c r="L115">
        <v>19</v>
      </c>
      <c r="M115">
        <v>17</v>
      </c>
      <c r="N115">
        <v>8</v>
      </c>
      <c r="O115">
        <v>22</v>
      </c>
      <c r="P115">
        <v>30</v>
      </c>
      <c r="Q115">
        <v>34</v>
      </c>
      <c r="R115">
        <v>23</v>
      </c>
      <c r="S115">
        <v>29</v>
      </c>
      <c r="T115">
        <v>22</v>
      </c>
      <c r="U115">
        <v>32</v>
      </c>
    </row>
    <row r="116" spans="1:21" hidden="1" x14ac:dyDescent="0.25">
      <c r="A116">
        <v>2023</v>
      </c>
      <c r="B116" t="s">
        <v>27</v>
      </c>
      <c r="C116">
        <v>404</v>
      </c>
      <c r="D116">
        <v>30</v>
      </c>
      <c r="E116">
        <v>22</v>
      </c>
      <c r="F116">
        <v>47</v>
      </c>
      <c r="G116">
        <v>31</v>
      </c>
      <c r="H116">
        <v>46</v>
      </c>
      <c r="I116">
        <v>36</v>
      </c>
      <c r="J116">
        <v>37</v>
      </c>
      <c r="K116">
        <v>33</v>
      </c>
      <c r="L116">
        <v>33</v>
      </c>
      <c r="M116">
        <v>24</v>
      </c>
      <c r="N116">
        <v>21</v>
      </c>
      <c r="O116">
        <v>57</v>
      </c>
      <c r="P116">
        <v>42</v>
      </c>
      <c r="Q116">
        <v>62</v>
      </c>
      <c r="R116">
        <v>56</v>
      </c>
      <c r="S116">
        <v>74</v>
      </c>
      <c r="T116">
        <v>49</v>
      </c>
      <c r="U116">
        <v>64</v>
      </c>
    </row>
    <row r="117" spans="1:21" hidden="1" x14ac:dyDescent="0.25">
      <c r="A117">
        <v>2023</v>
      </c>
      <c r="B117" t="s">
        <v>28</v>
      </c>
      <c r="C117">
        <v>326</v>
      </c>
      <c r="D117">
        <v>16</v>
      </c>
      <c r="E117">
        <v>24</v>
      </c>
      <c r="F117">
        <v>29</v>
      </c>
      <c r="G117">
        <v>40</v>
      </c>
      <c r="H117">
        <v>28</v>
      </c>
      <c r="I117">
        <v>30</v>
      </c>
      <c r="J117">
        <v>25</v>
      </c>
      <c r="K117">
        <v>33</v>
      </c>
      <c r="L117">
        <v>35</v>
      </c>
      <c r="M117">
        <v>25</v>
      </c>
      <c r="N117">
        <v>5</v>
      </c>
      <c r="O117">
        <v>54</v>
      </c>
      <c r="P117">
        <v>47</v>
      </c>
      <c r="Q117">
        <v>38</v>
      </c>
      <c r="R117">
        <v>41</v>
      </c>
      <c r="S117">
        <v>60</v>
      </c>
      <c r="T117">
        <v>44</v>
      </c>
      <c r="U117">
        <v>42</v>
      </c>
    </row>
    <row r="118" spans="1:21" hidden="1" x14ac:dyDescent="0.25">
      <c r="A118">
        <v>2023</v>
      </c>
      <c r="B118" t="s">
        <v>29</v>
      </c>
      <c r="C118">
        <v>274</v>
      </c>
      <c r="D118">
        <v>16</v>
      </c>
      <c r="E118">
        <v>27</v>
      </c>
      <c r="F118">
        <v>17</v>
      </c>
      <c r="G118">
        <v>24</v>
      </c>
      <c r="H118">
        <v>24</v>
      </c>
      <c r="I118">
        <v>24</v>
      </c>
      <c r="J118">
        <v>21</v>
      </c>
      <c r="K118">
        <v>18</v>
      </c>
      <c r="L118">
        <v>27</v>
      </c>
      <c r="M118">
        <v>20</v>
      </c>
      <c r="N118">
        <v>13</v>
      </c>
      <c r="O118">
        <v>40</v>
      </c>
      <c r="P118">
        <v>39</v>
      </c>
      <c r="Q118">
        <v>40</v>
      </c>
      <c r="R118">
        <v>41</v>
      </c>
      <c r="S118">
        <v>36</v>
      </c>
      <c r="T118">
        <v>38</v>
      </c>
      <c r="U118">
        <v>40</v>
      </c>
    </row>
    <row r="119" spans="1:21" hidden="1" x14ac:dyDescent="0.25">
      <c r="A119">
        <v>2023</v>
      </c>
      <c r="B119" t="s">
        <v>30</v>
      </c>
      <c r="C119">
        <v>221</v>
      </c>
      <c r="D119">
        <v>18</v>
      </c>
      <c r="E119">
        <v>13</v>
      </c>
      <c r="F119">
        <v>20</v>
      </c>
      <c r="G119">
        <v>15</v>
      </c>
      <c r="H119">
        <v>21</v>
      </c>
      <c r="I119">
        <v>22</v>
      </c>
      <c r="J119">
        <v>15</v>
      </c>
      <c r="K119">
        <v>16</v>
      </c>
      <c r="L119">
        <v>27</v>
      </c>
      <c r="M119">
        <v>19</v>
      </c>
      <c r="N119">
        <v>6</v>
      </c>
      <c r="O119">
        <v>32</v>
      </c>
      <c r="P119">
        <v>30</v>
      </c>
      <c r="Q119">
        <v>30</v>
      </c>
      <c r="R119">
        <v>35</v>
      </c>
      <c r="S119">
        <v>34</v>
      </c>
      <c r="T119">
        <v>31</v>
      </c>
      <c r="U119">
        <v>29</v>
      </c>
    </row>
    <row r="120" spans="1:21" hidden="1" x14ac:dyDescent="0.25">
      <c r="A120">
        <v>2023</v>
      </c>
      <c r="B120" t="s">
        <v>31</v>
      </c>
      <c r="C120">
        <v>114</v>
      </c>
      <c r="D120">
        <v>7</v>
      </c>
      <c r="E120">
        <v>4</v>
      </c>
      <c r="F120">
        <v>11</v>
      </c>
      <c r="G120">
        <v>7</v>
      </c>
      <c r="H120">
        <v>10</v>
      </c>
      <c r="I120">
        <v>14</v>
      </c>
      <c r="J120">
        <v>12</v>
      </c>
      <c r="K120">
        <v>7</v>
      </c>
      <c r="L120">
        <v>18</v>
      </c>
      <c r="M120">
        <v>5</v>
      </c>
      <c r="N120">
        <v>8</v>
      </c>
      <c r="O120">
        <v>16</v>
      </c>
      <c r="P120">
        <v>15</v>
      </c>
      <c r="Q120">
        <v>22</v>
      </c>
      <c r="R120">
        <v>11</v>
      </c>
      <c r="S120">
        <v>15</v>
      </c>
      <c r="T120">
        <v>16</v>
      </c>
      <c r="U120">
        <v>19</v>
      </c>
    </row>
    <row r="121" spans="1:21" hidden="1" x14ac:dyDescent="0.25">
      <c r="A121">
        <v>2023</v>
      </c>
      <c r="B121" t="s">
        <v>32</v>
      </c>
      <c r="C121">
        <v>468</v>
      </c>
      <c r="D121">
        <v>31</v>
      </c>
      <c r="E121">
        <v>34</v>
      </c>
      <c r="F121">
        <v>42</v>
      </c>
      <c r="G121">
        <v>37</v>
      </c>
      <c r="H121">
        <v>46</v>
      </c>
      <c r="I121">
        <v>40</v>
      </c>
      <c r="J121">
        <v>37</v>
      </c>
      <c r="K121">
        <v>41</v>
      </c>
      <c r="L121">
        <v>40</v>
      </c>
      <c r="M121">
        <v>33</v>
      </c>
      <c r="N121">
        <v>29</v>
      </c>
      <c r="O121">
        <v>72</v>
      </c>
      <c r="P121">
        <v>63</v>
      </c>
      <c r="Q121">
        <v>55</v>
      </c>
      <c r="R121">
        <v>68</v>
      </c>
      <c r="S121">
        <v>76</v>
      </c>
      <c r="T121">
        <v>63</v>
      </c>
      <c r="U121">
        <v>71</v>
      </c>
    </row>
    <row r="122" spans="1:21" hidden="1" x14ac:dyDescent="0.25">
      <c r="A122">
        <v>2023</v>
      </c>
      <c r="B122" t="s">
        <v>33</v>
      </c>
      <c r="C122">
        <v>268</v>
      </c>
      <c r="D122">
        <v>8</v>
      </c>
      <c r="E122">
        <v>27</v>
      </c>
      <c r="F122">
        <v>19</v>
      </c>
      <c r="G122">
        <v>32</v>
      </c>
      <c r="H122">
        <v>26</v>
      </c>
      <c r="I122">
        <v>25</v>
      </c>
      <c r="J122">
        <v>21</v>
      </c>
      <c r="K122">
        <v>28</v>
      </c>
      <c r="L122">
        <v>27</v>
      </c>
      <c r="M122">
        <v>27</v>
      </c>
      <c r="N122">
        <v>11</v>
      </c>
      <c r="O122">
        <v>49</v>
      </c>
      <c r="P122">
        <v>39</v>
      </c>
      <c r="Q122">
        <v>37</v>
      </c>
      <c r="R122">
        <v>32</v>
      </c>
      <c r="S122">
        <v>39</v>
      </c>
      <c r="T122">
        <v>38</v>
      </c>
      <c r="U122">
        <v>34</v>
      </c>
    </row>
    <row r="123" spans="1:21" hidden="1" x14ac:dyDescent="0.25">
      <c r="A123">
        <v>2023</v>
      </c>
      <c r="B123" t="s">
        <v>34</v>
      </c>
      <c r="C123">
        <v>255</v>
      </c>
      <c r="D123">
        <v>9</v>
      </c>
      <c r="E123">
        <v>24</v>
      </c>
      <c r="F123">
        <v>15</v>
      </c>
      <c r="G123">
        <v>22</v>
      </c>
      <c r="H123">
        <v>42</v>
      </c>
      <c r="I123">
        <v>19</v>
      </c>
      <c r="J123">
        <v>25</v>
      </c>
      <c r="K123">
        <v>17</v>
      </c>
      <c r="L123">
        <v>20</v>
      </c>
      <c r="M123">
        <v>17</v>
      </c>
      <c r="N123">
        <v>14</v>
      </c>
      <c r="O123">
        <v>49</v>
      </c>
      <c r="P123">
        <v>37</v>
      </c>
      <c r="Q123">
        <v>36</v>
      </c>
      <c r="R123">
        <v>36</v>
      </c>
      <c r="S123">
        <v>32</v>
      </c>
      <c r="T123">
        <v>32</v>
      </c>
      <c r="U123">
        <v>33</v>
      </c>
    </row>
    <row r="124" spans="1:21" hidden="1" x14ac:dyDescent="0.25">
      <c r="A124">
        <v>2023</v>
      </c>
      <c r="B124" t="s">
        <v>35</v>
      </c>
      <c r="C124">
        <v>401</v>
      </c>
      <c r="D124">
        <v>41</v>
      </c>
      <c r="E124">
        <v>39</v>
      </c>
      <c r="F124">
        <v>38</v>
      </c>
      <c r="G124">
        <v>41</v>
      </c>
      <c r="H124">
        <v>46</v>
      </c>
      <c r="I124">
        <v>42</v>
      </c>
      <c r="J124">
        <v>20</v>
      </c>
      <c r="K124">
        <v>30</v>
      </c>
      <c r="L124">
        <v>27</v>
      </c>
      <c r="M124">
        <v>22</v>
      </c>
      <c r="N124">
        <v>19</v>
      </c>
      <c r="O124">
        <v>70</v>
      </c>
      <c r="P124">
        <v>57</v>
      </c>
      <c r="Q124">
        <v>60</v>
      </c>
      <c r="R124">
        <v>63</v>
      </c>
      <c r="S124">
        <v>51</v>
      </c>
      <c r="T124">
        <v>38</v>
      </c>
      <c r="U124">
        <v>62</v>
      </c>
    </row>
    <row r="125" spans="1:21" hidden="1" x14ac:dyDescent="0.25">
      <c r="A125">
        <v>2023</v>
      </c>
      <c r="B125" t="s">
        <v>36</v>
      </c>
      <c r="C125">
        <v>372</v>
      </c>
      <c r="D125">
        <v>18</v>
      </c>
      <c r="E125">
        <v>19</v>
      </c>
      <c r="F125">
        <v>30</v>
      </c>
      <c r="G125">
        <v>36</v>
      </c>
      <c r="H125">
        <v>40</v>
      </c>
      <c r="I125">
        <v>42</v>
      </c>
      <c r="J125">
        <v>31</v>
      </c>
      <c r="K125">
        <v>36</v>
      </c>
      <c r="L125">
        <v>39</v>
      </c>
      <c r="M125">
        <v>20</v>
      </c>
      <c r="N125">
        <v>22</v>
      </c>
      <c r="O125">
        <v>57</v>
      </c>
      <c r="P125">
        <v>57</v>
      </c>
      <c r="Q125">
        <v>53</v>
      </c>
      <c r="R125">
        <v>47</v>
      </c>
      <c r="S125">
        <v>53</v>
      </c>
      <c r="T125">
        <v>42</v>
      </c>
      <c r="U125">
        <v>63</v>
      </c>
    </row>
    <row r="126" spans="1:21" hidden="1" x14ac:dyDescent="0.25">
      <c r="A126">
        <v>2023</v>
      </c>
      <c r="B126" t="s">
        <v>37</v>
      </c>
      <c r="C126">
        <v>431</v>
      </c>
      <c r="D126">
        <v>18</v>
      </c>
      <c r="E126">
        <v>35</v>
      </c>
      <c r="F126">
        <v>36</v>
      </c>
      <c r="G126">
        <v>48</v>
      </c>
      <c r="H126">
        <v>49</v>
      </c>
      <c r="I126">
        <v>45</v>
      </c>
      <c r="J126">
        <v>27</v>
      </c>
      <c r="K126">
        <v>37</v>
      </c>
      <c r="L126">
        <v>31</v>
      </c>
      <c r="M126">
        <v>31</v>
      </c>
      <c r="N126">
        <v>27</v>
      </c>
      <c r="O126">
        <v>61</v>
      </c>
      <c r="P126">
        <v>67</v>
      </c>
      <c r="Q126">
        <v>59</v>
      </c>
      <c r="R126">
        <v>52</v>
      </c>
      <c r="S126">
        <v>52</v>
      </c>
      <c r="T126">
        <v>71</v>
      </c>
      <c r="U126">
        <v>69</v>
      </c>
    </row>
    <row r="127" spans="1:21" hidden="1" x14ac:dyDescent="0.25">
      <c r="A127">
        <v>2023</v>
      </c>
      <c r="B127" t="s">
        <v>38</v>
      </c>
      <c r="C127">
        <v>5233</v>
      </c>
      <c r="D127">
        <v>304</v>
      </c>
      <c r="E127">
        <v>390</v>
      </c>
      <c r="F127">
        <v>471</v>
      </c>
      <c r="G127">
        <v>534</v>
      </c>
      <c r="H127">
        <v>553</v>
      </c>
      <c r="I127">
        <v>507</v>
      </c>
      <c r="J127">
        <v>417</v>
      </c>
      <c r="K127">
        <v>428</v>
      </c>
      <c r="L127">
        <v>469</v>
      </c>
      <c r="M127">
        <v>341</v>
      </c>
      <c r="N127">
        <v>258</v>
      </c>
      <c r="O127">
        <v>812</v>
      </c>
      <c r="P127">
        <v>776</v>
      </c>
      <c r="Q127">
        <v>734</v>
      </c>
      <c r="R127">
        <v>710</v>
      </c>
      <c r="S127">
        <v>745</v>
      </c>
      <c r="T127">
        <v>696</v>
      </c>
      <c r="U127">
        <v>760</v>
      </c>
    </row>
    <row r="128" spans="1:21" x14ac:dyDescent="0.25">
      <c r="A128">
        <v>2024</v>
      </c>
      <c r="B128" t="s">
        <v>21</v>
      </c>
      <c r="C128">
        <v>261</v>
      </c>
      <c r="D128">
        <v>12</v>
      </c>
      <c r="E128">
        <v>19</v>
      </c>
      <c r="F128">
        <v>17</v>
      </c>
      <c r="G128">
        <v>33</v>
      </c>
      <c r="H128">
        <v>27</v>
      </c>
      <c r="I128">
        <v>28</v>
      </c>
      <c r="J128">
        <v>25</v>
      </c>
      <c r="K128">
        <v>17</v>
      </c>
      <c r="L128">
        <v>15</v>
      </c>
      <c r="M128">
        <v>13</v>
      </c>
      <c r="N128">
        <v>20</v>
      </c>
      <c r="O128">
        <v>41</v>
      </c>
      <c r="P128">
        <v>39</v>
      </c>
      <c r="Q128">
        <v>37</v>
      </c>
      <c r="R128">
        <v>41</v>
      </c>
      <c r="S128">
        <v>38</v>
      </c>
      <c r="T128">
        <v>41</v>
      </c>
      <c r="U128">
        <v>24</v>
      </c>
    </row>
    <row r="129" spans="1:21" x14ac:dyDescent="0.25">
      <c r="A129">
        <v>2024</v>
      </c>
      <c r="B129" t="s">
        <v>22</v>
      </c>
      <c r="C129">
        <v>137</v>
      </c>
      <c r="D129">
        <v>8</v>
      </c>
      <c r="E129">
        <v>11</v>
      </c>
      <c r="F129">
        <v>10</v>
      </c>
      <c r="G129">
        <v>13</v>
      </c>
      <c r="H129">
        <v>17</v>
      </c>
      <c r="I129">
        <v>16</v>
      </c>
      <c r="J129">
        <v>9</v>
      </c>
      <c r="K129">
        <v>13</v>
      </c>
      <c r="L129">
        <v>12</v>
      </c>
      <c r="M129">
        <v>5</v>
      </c>
      <c r="N129">
        <v>7</v>
      </c>
      <c r="O129">
        <v>30</v>
      </c>
      <c r="P129">
        <v>25</v>
      </c>
      <c r="Q129">
        <v>17</v>
      </c>
      <c r="R129">
        <v>21</v>
      </c>
      <c r="S129">
        <v>17</v>
      </c>
      <c r="T129">
        <v>16</v>
      </c>
      <c r="U129">
        <v>11</v>
      </c>
    </row>
    <row r="130" spans="1:21" x14ac:dyDescent="0.25">
      <c r="A130">
        <v>2024</v>
      </c>
      <c r="B130" t="s">
        <v>23</v>
      </c>
      <c r="C130">
        <v>305</v>
      </c>
      <c r="D130">
        <v>21</v>
      </c>
      <c r="E130">
        <v>21</v>
      </c>
      <c r="F130">
        <v>28</v>
      </c>
      <c r="G130">
        <v>37</v>
      </c>
      <c r="H130">
        <v>33</v>
      </c>
      <c r="I130">
        <v>36</v>
      </c>
      <c r="J130">
        <v>27</v>
      </c>
      <c r="K130">
        <v>22</v>
      </c>
      <c r="L130">
        <v>21</v>
      </c>
      <c r="M130">
        <v>18</v>
      </c>
      <c r="N130">
        <v>13</v>
      </c>
      <c r="O130">
        <v>46</v>
      </c>
      <c r="P130">
        <v>42</v>
      </c>
      <c r="Q130">
        <v>43</v>
      </c>
      <c r="R130">
        <v>38</v>
      </c>
      <c r="S130">
        <v>47</v>
      </c>
      <c r="T130">
        <v>36</v>
      </c>
      <c r="U130">
        <v>53</v>
      </c>
    </row>
    <row r="131" spans="1:21" x14ac:dyDescent="0.25">
      <c r="A131">
        <v>2024</v>
      </c>
      <c r="B131" t="s">
        <v>24</v>
      </c>
      <c r="C131">
        <v>130</v>
      </c>
      <c r="D131">
        <v>9</v>
      </c>
      <c r="E131">
        <v>6</v>
      </c>
      <c r="F131">
        <v>13</v>
      </c>
      <c r="G131">
        <v>14</v>
      </c>
      <c r="H131">
        <v>14</v>
      </c>
      <c r="I131">
        <v>14</v>
      </c>
      <c r="J131">
        <v>13</v>
      </c>
      <c r="K131">
        <v>6</v>
      </c>
      <c r="L131">
        <v>10</v>
      </c>
      <c r="M131">
        <v>3</v>
      </c>
      <c r="N131">
        <v>16</v>
      </c>
      <c r="O131">
        <v>35</v>
      </c>
      <c r="P131">
        <v>17</v>
      </c>
      <c r="Q131">
        <v>12</v>
      </c>
      <c r="R131">
        <v>22</v>
      </c>
      <c r="S131">
        <v>18</v>
      </c>
      <c r="T131">
        <v>8</v>
      </c>
      <c r="U131">
        <v>18</v>
      </c>
    </row>
    <row r="132" spans="1:21" x14ac:dyDescent="0.25">
      <c r="A132">
        <v>2024</v>
      </c>
      <c r="B132" t="s">
        <v>25</v>
      </c>
      <c r="C132">
        <v>493</v>
      </c>
      <c r="D132">
        <v>28</v>
      </c>
      <c r="E132">
        <v>46</v>
      </c>
      <c r="F132">
        <v>47</v>
      </c>
      <c r="G132">
        <v>48</v>
      </c>
      <c r="H132">
        <v>67</v>
      </c>
      <c r="I132">
        <v>46</v>
      </c>
      <c r="J132">
        <v>35</v>
      </c>
      <c r="K132">
        <v>23</v>
      </c>
      <c r="L132">
        <v>29</v>
      </c>
      <c r="M132">
        <v>35</v>
      </c>
      <c r="N132">
        <v>30</v>
      </c>
      <c r="O132">
        <v>84</v>
      </c>
      <c r="P132">
        <v>79</v>
      </c>
      <c r="Q132">
        <v>68</v>
      </c>
      <c r="R132">
        <v>66</v>
      </c>
      <c r="S132">
        <v>70</v>
      </c>
      <c r="T132">
        <v>69</v>
      </c>
      <c r="U132">
        <v>57</v>
      </c>
    </row>
    <row r="133" spans="1:21" x14ac:dyDescent="0.25">
      <c r="A133">
        <v>2024</v>
      </c>
      <c r="B133" t="s">
        <v>26</v>
      </c>
      <c r="C133">
        <v>162</v>
      </c>
      <c r="D133">
        <v>8</v>
      </c>
      <c r="E133">
        <v>8</v>
      </c>
      <c r="F133">
        <v>6</v>
      </c>
      <c r="G133">
        <v>17</v>
      </c>
      <c r="H133">
        <v>15</v>
      </c>
      <c r="I133">
        <v>17</v>
      </c>
      <c r="J133">
        <v>20</v>
      </c>
      <c r="K133">
        <v>12</v>
      </c>
      <c r="L133">
        <v>13</v>
      </c>
      <c r="M133">
        <v>19</v>
      </c>
      <c r="N133">
        <v>11</v>
      </c>
      <c r="O133">
        <v>25</v>
      </c>
      <c r="P133">
        <v>36</v>
      </c>
      <c r="Q133">
        <v>14</v>
      </c>
      <c r="R133">
        <v>23</v>
      </c>
      <c r="S133">
        <v>24</v>
      </c>
      <c r="T133">
        <v>18</v>
      </c>
      <c r="U133">
        <v>22</v>
      </c>
    </row>
    <row r="134" spans="1:21" x14ac:dyDescent="0.25">
      <c r="A134">
        <v>2024</v>
      </c>
      <c r="B134" t="s">
        <v>27</v>
      </c>
      <c r="C134">
        <v>392</v>
      </c>
      <c r="D134">
        <v>28</v>
      </c>
      <c r="E134">
        <v>29</v>
      </c>
      <c r="F134">
        <v>35</v>
      </c>
      <c r="G134">
        <v>35</v>
      </c>
      <c r="H134">
        <v>46</v>
      </c>
      <c r="I134">
        <v>41</v>
      </c>
      <c r="J134">
        <v>34</v>
      </c>
      <c r="K134">
        <v>27</v>
      </c>
      <c r="L134">
        <v>30</v>
      </c>
      <c r="M134">
        <v>34</v>
      </c>
      <c r="N134">
        <v>19</v>
      </c>
      <c r="O134">
        <v>69</v>
      </c>
      <c r="P134">
        <v>71</v>
      </c>
      <c r="Q134">
        <v>56</v>
      </c>
      <c r="R134">
        <v>49</v>
      </c>
      <c r="S134">
        <v>47</v>
      </c>
      <c r="T134">
        <v>38</v>
      </c>
      <c r="U134">
        <v>62</v>
      </c>
    </row>
    <row r="135" spans="1:21" x14ac:dyDescent="0.25">
      <c r="A135">
        <v>2024</v>
      </c>
      <c r="B135" t="s">
        <v>28</v>
      </c>
      <c r="C135">
        <v>321</v>
      </c>
      <c r="D135">
        <v>17</v>
      </c>
      <c r="E135">
        <v>27</v>
      </c>
      <c r="F135">
        <v>33</v>
      </c>
      <c r="G135">
        <v>27</v>
      </c>
      <c r="H135">
        <v>38</v>
      </c>
      <c r="I135">
        <v>31</v>
      </c>
      <c r="J135">
        <v>32</v>
      </c>
      <c r="K135">
        <v>26</v>
      </c>
      <c r="L135">
        <v>24</v>
      </c>
      <c r="M135">
        <v>17</v>
      </c>
      <c r="N135">
        <v>16</v>
      </c>
      <c r="O135">
        <v>49</v>
      </c>
      <c r="P135">
        <v>54</v>
      </c>
      <c r="Q135">
        <v>40</v>
      </c>
      <c r="R135">
        <v>42</v>
      </c>
      <c r="S135">
        <v>36</v>
      </c>
      <c r="T135">
        <v>48</v>
      </c>
      <c r="U135">
        <v>52</v>
      </c>
    </row>
    <row r="136" spans="1:21" x14ac:dyDescent="0.25">
      <c r="A136">
        <v>2024</v>
      </c>
      <c r="B136" t="s">
        <v>29</v>
      </c>
      <c r="C136">
        <v>291</v>
      </c>
      <c r="D136">
        <v>12</v>
      </c>
      <c r="E136">
        <v>20</v>
      </c>
      <c r="F136">
        <v>26</v>
      </c>
      <c r="G136">
        <v>30</v>
      </c>
      <c r="H136">
        <v>34</v>
      </c>
      <c r="I136">
        <v>30</v>
      </c>
      <c r="J136">
        <v>37</v>
      </c>
      <c r="K136">
        <v>19</v>
      </c>
      <c r="L136">
        <v>25</v>
      </c>
      <c r="M136">
        <v>17</v>
      </c>
      <c r="N136">
        <v>16</v>
      </c>
      <c r="O136">
        <v>46</v>
      </c>
      <c r="P136">
        <v>39</v>
      </c>
      <c r="Q136">
        <v>39</v>
      </c>
      <c r="R136">
        <v>40</v>
      </c>
      <c r="S136">
        <v>46</v>
      </c>
      <c r="T136">
        <v>37</v>
      </c>
      <c r="U136">
        <v>44</v>
      </c>
    </row>
    <row r="137" spans="1:21" x14ac:dyDescent="0.25">
      <c r="A137">
        <v>2024</v>
      </c>
      <c r="B137" t="s">
        <v>30</v>
      </c>
      <c r="C137">
        <v>207</v>
      </c>
      <c r="D137">
        <v>13</v>
      </c>
      <c r="E137">
        <v>13</v>
      </c>
      <c r="F137">
        <v>15</v>
      </c>
      <c r="G137">
        <v>22</v>
      </c>
      <c r="H137">
        <v>23</v>
      </c>
      <c r="I137">
        <v>20</v>
      </c>
      <c r="J137">
        <v>17</v>
      </c>
      <c r="K137">
        <v>14</v>
      </c>
      <c r="L137">
        <v>22</v>
      </c>
      <c r="M137">
        <v>17</v>
      </c>
      <c r="N137">
        <v>9</v>
      </c>
      <c r="O137">
        <v>35</v>
      </c>
      <c r="P137">
        <v>30</v>
      </c>
      <c r="Q137">
        <v>35</v>
      </c>
      <c r="R137">
        <v>24</v>
      </c>
      <c r="S137">
        <v>29</v>
      </c>
      <c r="T137">
        <v>27</v>
      </c>
      <c r="U137">
        <v>27</v>
      </c>
    </row>
    <row r="138" spans="1:21" x14ac:dyDescent="0.25">
      <c r="A138">
        <v>2024</v>
      </c>
      <c r="B138" t="s">
        <v>31</v>
      </c>
      <c r="C138">
        <v>121</v>
      </c>
      <c r="D138">
        <v>9</v>
      </c>
      <c r="E138">
        <v>15</v>
      </c>
      <c r="F138">
        <v>7</v>
      </c>
      <c r="G138">
        <v>12</v>
      </c>
      <c r="H138">
        <v>10</v>
      </c>
      <c r="I138">
        <v>11</v>
      </c>
      <c r="J138">
        <v>11</v>
      </c>
      <c r="K138">
        <v>12</v>
      </c>
      <c r="L138">
        <v>9</v>
      </c>
      <c r="M138">
        <v>6</v>
      </c>
      <c r="N138">
        <v>6</v>
      </c>
      <c r="O138">
        <v>24</v>
      </c>
      <c r="P138">
        <v>17</v>
      </c>
      <c r="Q138">
        <v>10</v>
      </c>
      <c r="R138">
        <v>19</v>
      </c>
      <c r="S138">
        <v>16</v>
      </c>
      <c r="T138">
        <v>15</v>
      </c>
      <c r="U138">
        <v>20</v>
      </c>
    </row>
    <row r="139" spans="1:21" x14ac:dyDescent="0.25">
      <c r="A139">
        <v>2024</v>
      </c>
      <c r="B139" t="s">
        <v>32</v>
      </c>
      <c r="C139">
        <v>431</v>
      </c>
      <c r="D139">
        <v>26</v>
      </c>
      <c r="E139">
        <v>27</v>
      </c>
      <c r="F139">
        <v>40</v>
      </c>
      <c r="G139">
        <v>41</v>
      </c>
      <c r="H139">
        <v>42</v>
      </c>
      <c r="I139">
        <v>44</v>
      </c>
      <c r="J139">
        <v>48</v>
      </c>
      <c r="K139">
        <v>35</v>
      </c>
      <c r="L139">
        <v>25</v>
      </c>
      <c r="M139">
        <v>22</v>
      </c>
      <c r="N139">
        <v>17</v>
      </c>
      <c r="O139">
        <v>70</v>
      </c>
      <c r="P139">
        <v>62</v>
      </c>
      <c r="Q139">
        <v>62</v>
      </c>
      <c r="R139">
        <v>52</v>
      </c>
      <c r="S139">
        <v>60</v>
      </c>
      <c r="T139">
        <v>70</v>
      </c>
      <c r="U139">
        <v>55</v>
      </c>
    </row>
    <row r="140" spans="1:21" x14ac:dyDescent="0.25">
      <c r="A140">
        <v>2024</v>
      </c>
      <c r="B140" t="s">
        <v>33</v>
      </c>
      <c r="C140">
        <v>253</v>
      </c>
      <c r="D140">
        <v>9</v>
      </c>
      <c r="E140">
        <v>10</v>
      </c>
      <c r="F140">
        <v>23</v>
      </c>
      <c r="G140">
        <v>22</v>
      </c>
      <c r="H140">
        <v>22</v>
      </c>
      <c r="I140">
        <v>20</v>
      </c>
      <c r="J140">
        <v>27</v>
      </c>
      <c r="K140">
        <v>23</v>
      </c>
      <c r="L140">
        <v>24</v>
      </c>
      <c r="M140">
        <v>27</v>
      </c>
      <c r="N140">
        <v>16</v>
      </c>
      <c r="O140">
        <v>34</v>
      </c>
      <c r="P140">
        <v>40</v>
      </c>
      <c r="Q140">
        <v>44</v>
      </c>
      <c r="R140">
        <v>27</v>
      </c>
      <c r="S140">
        <v>36</v>
      </c>
      <c r="T140">
        <v>47</v>
      </c>
      <c r="U140">
        <v>25</v>
      </c>
    </row>
    <row r="141" spans="1:21" x14ac:dyDescent="0.25">
      <c r="A141">
        <v>2024</v>
      </c>
      <c r="B141" t="s">
        <v>34</v>
      </c>
      <c r="C141">
        <v>257</v>
      </c>
      <c r="D141">
        <v>12</v>
      </c>
      <c r="E141">
        <v>13</v>
      </c>
      <c r="F141">
        <v>25</v>
      </c>
      <c r="G141">
        <v>29</v>
      </c>
      <c r="H141">
        <v>38</v>
      </c>
      <c r="I141">
        <v>21</v>
      </c>
      <c r="J141">
        <v>17</v>
      </c>
      <c r="K141">
        <v>22</v>
      </c>
      <c r="L141">
        <v>16</v>
      </c>
      <c r="M141">
        <v>18</v>
      </c>
      <c r="N141">
        <v>17</v>
      </c>
      <c r="O141">
        <v>41</v>
      </c>
      <c r="P141">
        <v>22</v>
      </c>
      <c r="Q141">
        <v>40</v>
      </c>
      <c r="R141">
        <v>36</v>
      </c>
      <c r="S141">
        <v>33</v>
      </c>
      <c r="T141">
        <v>39</v>
      </c>
      <c r="U141">
        <v>46</v>
      </c>
    </row>
    <row r="142" spans="1:21" x14ac:dyDescent="0.25">
      <c r="A142">
        <v>2024</v>
      </c>
      <c r="B142" t="s">
        <v>35</v>
      </c>
      <c r="C142">
        <v>360</v>
      </c>
      <c r="D142">
        <v>30</v>
      </c>
      <c r="E142">
        <v>31</v>
      </c>
      <c r="F142">
        <v>30</v>
      </c>
      <c r="G142">
        <v>35</v>
      </c>
      <c r="H142">
        <v>45</v>
      </c>
      <c r="I142">
        <v>39</v>
      </c>
      <c r="J142">
        <v>19</v>
      </c>
      <c r="K142">
        <v>22</v>
      </c>
      <c r="L142">
        <v>23</v>
      </c>
      <c r="M142">
        <v>17</v>
      </c>
      <c r="N142">
        <v>19</v>
      </c>
      <c r="O142">
        <v>54</v>
      </c>
      <c r="P142">
        <v>57</v>
      </c>
      <c r="Q142">
        <v>46</v>
      </c>
      <c r="R142">
        <v>63</v>
      </c>
      <c r="S142">
        <v>37</v>
      </c>
      <c r="T142">
        <v>50</v>
      </c>
      <c r="U142">
        <v>53</v>
      </c>
    </row>
    <row r="143" spans="1:21" x14ac:dyDescent="0.25">
      <c r="A143">
        <v>2024</v>
      </c>
      <c r="B143" t="s">
        <v>36</v>
      </c>
      <c r="C143">
        <v>310</v>
      </c>
      <c r="D143">
        <v>10</v>
      </c>
      <c r="E143">
        <v>17</v>
      </c>
      <c r="F143">
        <v>25</v>
      </c>
      <c r="G143">
        <v>33</v>
      </c>
      <c r="H143">
        <v>30</v>
      </c>
      <c r="I143">
        <v>34</v>
      </c>
      <c r="J143">
        <v>35</v>
      </c>
      <c r="K143">
        <v>25</v>
      </c>
      <c r="L143">
        <v>28</v>
      </c>
      <c r="M143">
        <v>27</v>
      </c>
      <c r="N143">
        <v>14</v>
      </c>
      <c r="O143">
        <v>54</v>
      </c>
      <c r="P143">
        <v>46</v>
      </c>
      <c r="Q143">
        <v>46</v>
      </c>
      <c r="R143">
        <v>39</v>
      </c>
      <c r="S143">
        <v>43</v>
      </c>
      <c r="T143">
        <v>46</v>
      </c>
      <c r="U143">
        <v>36</v>
      </c>
    </row>
    <row r="144" spans="1:21" x14ac:dyDescent="0.25">
      <c r="A144">
        <v>2024</v>
      </c>
      <c r="B144" t="s">
        <v>37</v>
      </c>
      <c r="C144">
        <v>414</v>
      </c>
      <c r="D144">
        <v>30</v>
      </c>
      <c r="E144">
        <v>31</v>
      </c>
      <c r="F144">
        <v>41</v>
      </c>
      <c r="G144">
        <v>57</v>
      </c>
      <c r="H144">
        <v>49</v>
      </c>
      <c r="I144">
        <v>43</v>
      </c>
      <c r="J144">
        <v>29</v>
      </c>
      <c r="K144">
        <v>24</v>
      </c>
      <c r="L144">
        <v>20</v>
      </c>
      <c r="M144">
        <v>25</v>
      </c>
      <c r="N144">
        <v>22</v>
      </c>
      <c r="O144">
        <v>73</v>
      </c>
      <c r="P144">
        <v>55</v>
      </c>
      <c r="Q144">
        <v>51</v>
      </c>
      <c r="R144">
        <v>53</v>
      </c>
      <c r="S144">
        <v>60</v>
      </c>
      <c r="T144">
        <v>59</v>
      </c>
      <c r="U144">
        <v>63</v>
      </c>
    </row>
    <row r="145" spans="1:21" x14ac:dyDescent="0.25">
      <c r="A145">
        <v>2024</v>
      </c>
      <c r="B145" t="s">
        <v>38</v>
      </c>
      <c r="C145">
        <v>4845</v>
      </c>
      <c r="D145">
        <v>282</v>
      </c>
      <c r="E145">
        <v>344</v>
      </c>
      <c r="F145">
        <v>421</v>
      </c>
      <c r="G145">
        <v>505</v>
      </c>
      <c r="H145">
        <v>550</v>
      </c>
      <c r="I145">
        <v>491</v>
      </c>
      <c r="J145">
        <v>435</v>
      </c>
      <c r="K145">
        <v>342</v>
      </c>
      <c r="L145">
        <v>346</v>
      </c>
      <c r="M145">
        <v>320</v>
      </c>
      <c r="N145">
        <v>268</v>
      </c>
      <c r="O145">
        <v>810</v>
      </c>
      <c r="P145">
        <v>731</v>
      </c>
      <c r="Q145">
        <v>660</v>
      </c>
      <c r="R145">
        <v>655</v>
      </c>
      <c r="S145">
        <v>657</v>
      </c>
      <c r="T145">
        <v>664</v>
      </c>
      <c r="U145">
        <v>668</v>
      </c>
    </row>
    <row r="146" spans="1:21" x14ac:dyDescent="0.25">
      <c r="B146" s="1"/>
      <c r="C146">
        <f>SUM(C128,C129,C130,C131,C132,C133,C134,C135,C136,C137,C138,C139,C140,C141,C142,C143,C144,C145)</f>
        <v>9690</v>
      </c>
      <c r="D146">
        <f>SUBTOTAL(109,Zamachy_samobójcze____zgony[Grupa wiekowa - ''19-24''])</f>
        <v>564</v>
      </c>
      <c r="E146">
        <f>SUBTOTAL(109,Zamachy_samobójcze____zgony[Grupa wiekowa - ''25-29''])</f>
        <v>688</v>
      </c>
      <c r="F146">
        <f>SUBTOTAL(109,Zamachy_samobójcze____zgony[Grupa wiekowa - ''30-34''])</f>
        <v>842</v>
      </c>
      <c r="G146">
        <f>SUBTOTAL(109,Zamachy_samobójcze____zgony[Grupa wiekowa - ''35-39''])</f>
        <v>1010</v>
      </c>
      <c r="H146">
        <f>SUBTOTAL(109,Zamachy_samobójcze____zgony[Grupa wiekowa - ''40-44''])</f>
        <v>1100</v>
      </c>
      <c r="I146">
        <f>SUBTOTAL(109,Zamachy_samobójcze____zgony[Grupa wiekowa - ''45-49''])</f>
        <v>982</v>
      </c>
      <c r="J146">
        <f>SUBTOTAL(109,Zamachy_samobójcze____zgony[Grupa wiekowa - ''50-54''])</f>
        <v>870</v>
      </c>
      <c r="K146">
        <f>SUBTOTAL(109,Zamachy_samobójcze____zgony[Grupa wiekowa - ''55-59''])</f>
        <v>684</v>
      </c>
      <c r="L146">
        <f>SUBTOTAL(109,Zamachy_samobójcze____zgony[Grupa wiekowa - ''60-64''])</f>
        <v>692</v>
      </c>
      <c r="M146">
        <f>SUBTOTAL(109,Zamachy_samobójcze____zgony[Grupa wiekowa - ''65-69''])</f>
        <v>640</v>
      </c>
      <c r="N146">
        <f>SUBTOTAL(109,Zamachy_samobójcze____zgony[Grupa wiekowa - ''70-74''])</f>
        <v>536</v>
      </c>
    </row>
    <row r="148" spans="1:21" x14ac:dyDescent="0.25">
      <c r="D148" s="2">
        <f>Zamachy_samobójcze____zgony[[#Totals],[Grupa wiekowa - ''19-24'']]/Zamachy_samobójcze____zgony[[#Totals],[Liczba osób w zamachach samobójczych zakończonych zgonem]]</f>
        <v>5.8204334365325079E-2</v>
      </c>
      <c r="E148" s="2">
        <f>Zamachy_samobójcze____zgony[[#Totals],[Grupa wiekowa - ''25-29'']]/Zamachy_samobójcze____zgony[[#Totals],[Liczba osób w zamachach samobójczych zakończonych zgonem]]</f>
        <v>7.1001031991744068E-2</v>
      </c>
      <c r="F148" s="2">
        <f>Zamachy_samobójcze____zgony[[#Totals],[Grupa wiekowa - ''30-34'']]/Zamachy_samobójcze____zgony[[#Totals],[Liczba osób w zamachach samobójczych zakończonych zgonem]]</f>
        <v>8.68937048503612E-2</v>
      </c>
      <c r="G148" s="2">
        <f>Zamachy_samobójcze____zgony[[#Totals],[Grupa wiekowa - ''35-39'']]/Zamachy_samobójcze____zgony[[#Totals],[Liczba osób w zamachach samobójczych zakończonych zgonem]]</f>
        <v>0.1042311661506708</v>
      </c>
      <c r="H148" s="2">
        <f>Zamachy_samobójcze____zgony[[#Totals],[Grupa wiekowa - ''40-44'']]/Zamachy_samobójcze____zgony[[#Totals],[Liczba osób w zamachach samobójczych zakończonych zgonem]]</f>
        <v>0.11351909184726522</v>
      </c>
      <c r="I148" s="2">
        <f>Zamachy_samobójcze____zgony[[#Totals],[Grupa wiekowa - ''45-49'']]/Zamachy_samobójcze____zgony[[#Totals],[Liczba osób w zamachach samobójczych zakończonych zgonem]]</f>
        <v>0.10134158926728586</v>
      </c>
      <c r="J148" s="2">
        <f>Zamachy_samobójcze____zgony[[#Totals],[Grupa wiekowa - ''50-54'']]/Zamachy_samobójcze____zgony[[#Totals],[Liczba osób w zamachach samobójczych zakończonych zgonem]]</f>
        <v>8.9783281733746126E-2</v>
      </c>
      <c r="K148" s="2">
        <f>Zamachy_samobójcze____zgony[[#Totals],[Grupa wiekowa - ''55-59'']]/Zamachy_samobójcze____zgony[[#Totals],[Liczba osób w zamachach samobójczych zakończonych zgonem]]</f>
        <v>7.0588235294117646E-2</v>
      </c>
      <c r="L148" s="2">
        <f>Zamachy_samobójcze____zgony[[#Totals],[Grupa wiekowa - ''60-64'']]/Zamachy_samobójcze____zgony[[#Totals],[Liczba osób w zamachach samobójczych zakończonych zgonem]]</f>
        <v>7.141382868937049E-2</v>
      </c>
      <c r="M148" s="2">
        <f>Zamachy_samobójcze____zgony[[#Totals],[Grupa wiekowa - ''65-69'']]/Zamachy_samobójcze____zgony[[#Totals],[Liczba osób w zamachach samobójczych zakończonych zgonem]]</f>
        <v>6.6047471620227033E-2</v>
      </c>
      <c r="N148" s="2">
        <f>Zamachy_samobójcze____zgony[[#Totals],[Grupa wiekowa - ''70-74'']]/Zamachy_samobójcze____zgony[[#Totals],[Liczba osób w zamachach samobójczych zakończonych zgonem]]</f>
        <v>5.5314757481940147E-2</v>
      </c>
    </row>
    <row r="149" spans="1:21" x14ac:dyDescent="0.25">
      <c r="F149" s="2"/>
    </row>
  </sheetData>
  <conditionalFormatting sqref="D148:N148">
    <cfRule type="cellIs" dxfId="0" priority="1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0608D1-1D43-40F9-A6BA-6F5235D16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firago</dc:creator>
  <cp:lastModifiedBy>pawel firago</cp:lastModifiedBy>
  <dcterms:created xsi:type="dcterms:W3CDTF">2015-06-05T18:17:20Z</dcterms:created>
  <dcterms:modified xsi:type="dcterms:W3CDTF">2025-12-19T21:48:07Z</dcterms:modified>
</cp:coreProperties>
</file>