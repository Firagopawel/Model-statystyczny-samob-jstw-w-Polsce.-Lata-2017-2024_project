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el\OneDrive\Desktop\TwojKatalog\Proby_samobojcze\"/>
    </mc:Choice>
  </mc:AlternateContent>
  <xr:revisionPtr revIDLastSave="0" documentId="13_ncr:1_{6D847D45-61D0-4755-BCF7-8A82FE60BBDD}" xr6:coauthVersionLast="47" xr6:coauthVersionMax="47" xr10:uidLastSave="{00000000-0000-0000-0000-000000000000}"/>
  <bookViews>
    <workbookView xWindow="-2100" yWindow="435" windowWidth="25680" windowHeight="10575" xr2:uid="{2BE995F0-A4BC-4CD0-A12A-D0F16420083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</calcChain>
</file>

<file path=xl/sharedStrings.xml><?xml version="1.0" encoding="utf-8"?>
<sst xmlns="http://schemas.openxmlformats.org/spreadsheetml/2006/main" count="77" uniqueCount="76">
  <si>
    <t xml:space="preserve">Województwo </t>
  </si>
  <si>
    <t>lat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</si>
  <si>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</si>
  <si>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</si>
  <si>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</si>
  <si>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</si>
  <si>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</si>
  <si>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</si>
  <si>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</si>
  <si>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</si>
  <si>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</si>
  <si>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</si>
  <si>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</si>
  <si>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</si>
  <si>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</si>
  <si>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</si>
  <si>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</si>
  <si>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</si>
  <si>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51.1079</t>
  </si>
  <si>
    <t>17.0385</t>
  </si>
  <si>
    <t>53.0138</t>
  </si>
  <si>
    <t>18.5984</t>
  </si>
  <si>
    <t>51.2465</t>
  </si>
  <si>
    <t>22.5684</t>
  </si>
  <si>
    <t>52.4064</t>
  </si>
  <si>
    <t>15.0375</t>
  </si>
  <si>
    <t>51.7592</t>
  </si>
  <si>
    <t>19.4560</t>
  </si>
  <si>
    <t>50.0647</t>
  </si>
  <si>
    <t>19.9450</t>
  </si>
  <si>
    <t>52.2370</t>
  </si>
  <si>
    <t>21.0175</t>
  </si>
  <si>
    <t>50.6751</t>
  </si>
  <si>
    <t>17.9213</t>
  </si>
  <si>
    <t>49.9996</t>
  </si>
  <si>
    <t>21.9981</t>
  </si>
  <si>
    <t>53.1325</t>
  </si>
  <si>
    <t>23.1688</t>
  </si>
  <si>
    <t>54.3520</t>
  </si>
  <si>
    <t>18.6466</t>
  </si>
  <si>
    <t>50.2649</t>
  </si>
  <si>
    <t>19.0238</t>
  </si>
  <si>
    <t>50.8661</t>
  </si>
  <si>
    <t>20.6286</t>
  </si>
  <si>
    <t>53.7784</t>
  </si>
  <si>
    <t>20.4801</t>
  </si>
  <si>
    <t>16.9252</t>
  </si>
  <si>
    <t>53.4285</t>
  </si>
  <si>
    <t>14.5528</t>
  </si>
  <si>
    <t>Liczba samobójstw w 2024</t>
  </si>
  <si>
    <t>long</t>
  </si>
  <si>
    <t>Wskaźnik samobójstw</t>
  </si>
  <si>
    <t>Liczba ludności</t>
  </si>
  <si>
    <t>Rok</t>
  </si>
  <si>
    <t>Problemy alkoholowe</t>
  </si>
  <si>
    <t>Zaburzenia psychiatryczne</t>
  </si>
  <si>
    <t>KWP</t>
  </si>
  <si>
    <t>Wrocław</t>
  </si>
  <si>
    <t xml:space="preserve">Bydgoszcz </t>
  </si>
  <si>
    <t>Lublin</t>
  </si>
  <si>
    <t>Gorzów Wlk.</t>
  </si>
  <si>
    <t>Łódź</t>
  </si>
  <si>
    <t>Kraków</t>
  </si>
  <si>
    <t>Warszawa</t>
  </si>
  <si>
    <t>Opole</t>
  </si>
  <si>
    <t>Rzeszów</t>
  </si>
  <si>
    <t>Białystok</t>
  </si>
  <si>
    <t>Gdańsk</t>
  </si>
  <si>
    <t>Katowice</t>
  </si>
  <si>
    <t>Kielce</t>
  </si>
  <si>
    <t>Poznań</t>
  </si>
  <si>
    <t>Szczecin</t>
  </si>
  <si>
    <t>Olsztyn</t>
  </si>
  <si>
    <t>Bezrobocie</t>
  </si>
  <si>
    <t>Stała</t>
  </si>
  <si>
    <t>Pracujący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</si>
</sst>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4" fontId="1" fillId="0" borderId="0" xfId="0" applyNumberFormat="1" applyFont="1"/>
  </cellXfs>
  <cellStyles count="1">
    <cellStyle name="Normalny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AC322-4959-4787-82D3-E824EED751BB}" name="Tabela1" displayName="Tabela1" ref="A1:M17" totalsRowShown="0">
  <autoFilter ref="A1:M17" xr:uid="{024AC322-4959-4787-82D3-E824EED751BB}"/>
  <tableColumns count="13">
    <tableColumn id="1" xr3:uid="{C9CD5C4A-72DE-427D-8B92-A472F448485A}" name="Województwo "/>
    <tableColumn id="11" xr3:uid="{AC4E15E1-682F-4B57-9B31-8A33D4458AE2}" name="KWP"/>
    <tableColumn id="8" xr3:uid="{2A242C38-CB7C-4A54-A6BF-80013E3390A5}" name="Rok"/>
    <tableColumn id="2" xr3:uid="{4111144C-B730-4B9A-AF8F-7085B719BDE7}" name="lat"/>
    <tableColumn id="3" xr3:uid="{D210A10D-F4D1-43FE-9F3A-480E9100717E}" name="long"/>
    <tableColumn id="9" xr3:uid="{7D2169E2-8BA2-4A2A-AF20-753738BA1010}" name="Problemy alkoholowe"/>
    <tableColumn id="10" xr3:uid="{F1FEFBB7-CD66-4C8C-B1D4-D8064DEC1B01}" name="Zaburzenia psychiatryczne"/>
    <tableColumn id="13" xr3:uid="{78A3C58E-3EA2-435F-93DC-36E2A352C843}" name="Bezrobocie"/>
    <tableColumn id="12" xr3:uid="{162628D8-1ED3-4F55-9451-BF64304D6CFA}" name="Pracujący"/>
    <tableColumn id="5" xr3:uid="{E62D46F8-74DE-44A0-B5B8-EAEC8875DCEA}" name="Liczba ludności"/>
    <tableColumn id="6" xr3:uid="{22BCE79B-5B04-4B70-A9EE-33C84D0E58AA}" name="Stała" dataDxfId="1"/>
    <tableColumn id="7" xr3:uid="{D5B94EEA-D748-4C4C-8020-E3DA63259304}" name="Wskaźnik samobójstw" dataDxfId="0">
      <calculatedColumnFormula>Tabela1[[#This Row],[Liczba samobójstw w 2024]]/Tabela1[[#This Row],[Liczba ludności]]*Tabela1[[#This Row],[Stała]]</calculatedColumnFormula>
    </tableColumn>
    <tableColumn id="4" xr3:uid="{99F5542B-78F0-4AF0-8E96-B7E84FAF7A4A}" name="Liczba samobójstw w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BAD8-F3C8-4BC7-AA72-35432C25FE98}">
  <dimension ref="A1:O20"/>
  <sheetViews>
    <sheetView tabSelected="1" topLeftCell="A4" workbookViewId="0">
      <selection activeCell="I17" sqref="I17"/>
    </sheetView>
  </sheetViews>
  <sheetFormatPr defaultRowHeight="15" x14ac:dyDescent="0.25"/>
  <cols>
    <col min="1" max="2" width="21.5703125" customWidth="1"/>
    <col min="3" max="3" width="10.42578125" customWidth="1"/>
    <col min="6" max="6" width="7.5703125" customWidth="1"/>
    <col min="7" max="7" width="12" customWidth="1"/>
    <col min="8" max="9" width="15.5703125" customWidth="1"/>
    <col min="10" max="12" width="34.5703125" customWidth="1"/>
    <col min="13" max="13" width="26.28515625" customWidth="1"/>
  </cols>
  <sheetData>
    <row r="1" spans="1:15" x14ac:dyDescent="0.25">
      <c r="A1" t="s">
        <v>0</v>
      </c>
      <c r="B1" t="s">
        <v>56</v>
      </c>
      <c r="C1" t="s">
        <v>53</v>
      </c>
      <c r="D1" t="s">
        <v>1</v>
      </c>
      <c r="E1" t="s">
        <v>50</v>
      </c>
      <c r="F1" t="s">
        <v>54</v>
      </c>
      <c r="G1" t="s">
        <v>55</v>
      </c>
      <c r="H1" t="s">
        <v>73</v>
      </c>
      <c r="I1" t="s">
        <v>75</v>
      </c>
      <c r="J1" t="s">
        <v>52</v>
      </c>
      <c r="K1" t="s">
        <v>74</v>
      </c>
      <c r="L1" t="s">
        <v>51</v>
      </c>
      <c r="M1" t="s">
        <v>49</v>
      </c>
    </row>
    <row r="2" spans="1:15" x14ac:dyDescent="0.25">
      <c r="A2" t="s">
        <v>2</v>
      </c>
      <c r="B2" t="s">
        <v>57</v>
      </c>
      <c r="C2">
        <v>2024</v>
      </c>
      <c r="D2" t="s">
        <v>18</v>
      </c>
      <c r="E2" t="s">
        <v>19</v>
      </c>
      <c r="F2">
        <v>13</v>
      </c>
      <c r="G2">
        <v>90</v>
      </c>
      <c r="H2">
        <v>34</v>
      </c>
      <c r="I2">
        <v>74</v>
      </c>
      <c r="J2" s="1">
        <v>2359500</v>
      </c>
      <c r="K2" s="1">
        <v>100000</v>
      </c>
      <c r="L2" s="1">
        <f>Tabela1[[#This Row],[Liczba samobójstw w 2024]]/Tabela1[[#This Row],[Liczba ludności]]*Tabela1[[#This Row],[Stała]]</f>
        <v>17.546090273363003</v>
      </c>
      <c r="M2">
        <v>414</v>
      </c>
      <c r="O2" s="1"/>
    </row>
    <row r="3" spans="1:15" x14ac:dyDescent="0.25">
      <c r="A3" t="s">
        <v>3</v>
      </c>
      <c r="B3" t="s">
        <v>58</v>
      </c>
      <c r="C3">
        <v>2024</v>
      </c>
      <c r="D3" t="s">
        <v>20</v>
      </c>
      <c r="E3" t="s">
        <v>21</v>
      </c>
      <c r="F3">
        <v>6</v>
      </c>
      <c r="G3">
        <v>44</v>
      </c>
      <c r="H3">
        <v>28</v>
      </c>
      <c r="I3">
        <v>53</v>
      </c>
      <c r="J3" s="1">
        <v>2037000</v>
      </c>
      <c r="K3" s="1">
        <v>100000</v>
      </c>
      <c r="L3" s="1">
        <f>Tabela1[[#This Row],[Liczba samobójstw w 2024]]/Tabela1[[#This Row],[Liczba ludności]]*Tabela1[[#This Row],[Stała]]</f>
        <v>12.812960235640647</v>
      </c>
      <c r="M3">
        <v>261</v>
      </c>
    </row>
    <row r="4" spans="1:15" x14ac:dyDescent="0.25">
      <c r="A4" t="s">
        <v>4</v>
      </c>
      <c r="B4" t="s">
        <v>59</v>
      </c>
      <c r="C4">
        <v>2024</v>
      </c>
      <c r="D4" t="s">
        <v>22</v>
      </c>
      <c r="E4" t="s">
        <v>23</v>
      </c>
      <c r="F4">
        <v>2</v>
      </c>
      <c r="G4">
        <v>66</v>
      </c>
      <c r="H4">
        <v>51</v>
      </c>
      <c r="I4">
        <v>77</v>
      </c>
      <c r="J4" s="1">
        <v>2058000</v>
      </c>
      <c r="K4" s="1">
        <v>100000</v>
      </c>
      <c r="L4" s="1">
        <f>Tabela1[[#This Row],[Liczba samobójstw w 2024]]/Tabela1[[#This Row],[Liczba ludności]]*Tabela1[[#This Row],[Stała]]</f>
        <v>14.139941690962099</v>
      </c>
      <c r="M4">
        <v>291</v>
      </c>
    </row>
    <row r="5" spans="1:15" x14ac:dyDescent="0.25">
      <c r="A5" t="s">
        <v>5</v>
      </c>
      <c r="B5" t="s">
        <v>60</v>
      </c>
      <c r="C5">
        <v>2024</v>
      </c>
      <c r="D5" t="s">
        <v>24</v>
      </c>
      <c r="E5" t="s">
        <v>25</v>
      </c>
      <c r="F5">
        <v>5</v>
      </c>
      <c r="G5">
        <v>22</v>
      </c>
      <c r="H5">
        <v>14</v>
      </c>
      <c r="I5">
        <v>26</v>
      </c>
      <c r="J5" s="1">
        <v>990000</v>
      </c>
      <c r="K5" s="1">
        <v>100000</v>
      </c>
      <c r="L5" s="1">
        <f>Tabela1[[#This Row],[Liczba samobójstw w 2024]]/Tabela1[[#This Row],[Liczba ludności]]*Tabela1[[#This Row],[Stała]]</f>
        <v>13.13131313131313</v>
      </c>
      <c r="M5">
        <v>130</v>
      </c>
    </row>
    <row r="6" spans="1:15" x14ac:dyDescent="0.25">
      <c r="A6" t="s">
        <v>6</v>
      </c>
      <c r="B6" t="s">
        <v>61</v>
      </c>
      <c r="C6">
        <v>2024</v>
      </c>
      <c r="D6" t="s">
        <v>26</v>
      </c>
      <c r="E6" t="s">
        <v>27</v>
      </c>
      <c r="F6">
        <v>17</v>
      </c>
      <c r="G6">
        <v>66</v>
      </c>
      <c r="H6">
        <v>50</v>
      </c>
      <c r="I6">
        <v>88</v>
      </c>
      <c r="J6" s="1">
        <v>2370000</v>
      </c>
      <c r="K6" s="1">
        <v>100000</v>
      </c>
      <c r="L6" s="1">
        <f>Tabela1[[#This Row],[Liczba samobójstw w 2024]]/Tabela1[[#This Row],[Liczba ludności]]*Tabela1[[#This Row],[Stała]]</f>
        <v>13.544303797468356</v>
      </c>
      <c r="M6">
        <v>321</v>
      </c>
    </row>
    <row r="7" spans="1:15" x14ac:dyDescent="0.25">
      <c r="A7" t="s">
        <v>7</v>
      </c>
      <c r="B7" t="s">
        <v>62</v>
      </c>
      <c r="C7">
        <v>2024</v>
      </c>
      <c r="D7" t="s">
        <v>28</v>
      </c>
      <c r="E7" t="s">
        <v>29</v>
      </c>
      <c r="F7">
        <v>9</v>
      </c>
      <c r="G7">
        <v>102</v>
      </c>
      <c r="H7">
        <v>51</v>
      </c>
      <c r="I7">
        <v>108</v>
      </c>
      <c r="J7" s="1">
        <v>3400000</v>
      </c>
      <c r="K7" s="1">
        <v>100000</v>
      </c>
      <c r="L7" s="1">
        <f>Tabela1[[#This Row],[Liczba samobójstw w 2024]]/Tabela1[[#This Row],[Liczba ludności]]*Tabela1[[#This Row],[Stała]]</f>
        <v>11.529411764705882</v>
      </c>
      <c r="M7">
        <v>392</v>
      </c>
    </row>
    <row r="8" spans="1:15" x14ac:dyDescent="0.25">
      <c r="A8" t="s">
        <v>8</v>
      </c>
      <c r="B8" t="s">
        <v>63</v>
      </c>
      <c r="C8">
        <v>2024</v>
      </c>
      <c r="D8" t="s">
        <v>30</v>
      </c>
      <c r="E8" t="s">
        <v>31</v>
      </c>
      <c r="F8">
        <v>8</v>
      </c>
      <c r="G8">
        <v>77</v>
      </c>
      <c r="H8">
        <v>40</v>
      </c>
      <c r="I8">
        <v>76</v>
      </c>
      <c r="J8" s="1">
        <v>5550000</v>
      </c>
      <c r="K8" s="1">
        <v>100000</v>
      </c>
      <c r="L8" s="1">
        <f>Tabela1[[#This Row],[Liczba samobójstw w 2024]]/Tabela1[[#This Row],[Liczba ludności]]*Tabela1[[#This Row],[Stała]]</f>
        <v>6.486486486486486</v>
      </c>
      <c r="M8">
        <v>360</v>
      </c>
    </row>
    <row r="9" spans="1:15" x14ac:dyDescent="0.25">
      <c r="A9" t="s">
        <v>9</v>
      </c>
      <c r="B9" t="s">
        <v>64</v>
      </c>
      <c r="C9">
        <v>2024</v>
      </c>
      <c r="D9" t="s">
        <v>32</v>
      </c>
      <c r="E9" t="s">
        <v>33</v>
      </c>
      <c r="F9">
        <v>5</v>
      </c>
      <c r="G9">
        <v>28</v>
      </c>
      <c r="H9">
        <v>22</v>
      </c>
      <c r="I9">
        <v>56</v>
      </c>
      <c r="J9" s="1">
        <v>960000</v>
      </c>
      <c r="K9" s="1">
        <v>100000</v>
      </c>
      <c r="L9" s="1">
        <f>Tabela1[[#This Row],[Liczba samobójstw w 2024]]/Tabela1[[#This Row],[Liczba ludności]]*Tabela1[[#This Row],[Stała]]</f>
        <v>12.604166666666666</v>
      </c>
      <c r="M9">
        <v>121</v>
      </c>
    </row>
    <row r="10" spans="1:15" x14ac:dyDescent="0.25">
      <c r="A10" t="s">
        <v>10</v>
      </c>
      <c r="B10" t="s">
        <v>65</v>
      </c>
      <c r="C10">
        <v>2024</v>
      </c>
      <c r="D10" t="s">
        <v>34</v>
      </c>
      <c r="E10" t="s">
        <v>35</v>
      </c>
      <c r="F10">
        <v>8</v>
      </c>
      <c r="G10">
        <v>54</v>
      </c>
      <c r="H10">
        <v>55</v>
      </c>
      <c r="I10">
        <v>60</v>
      </c>
      <c r="J10" s="1">
        <v>2120000</v>
      </c>
      <c r="K10" s="1">
        <v>100000</v>
      </c>
      <c r="L10" s="1">
        <f>Tabela1[[#This Row],[Liczba samobójstw w 2024]]/Tabela1[[#This Row],[Liczba ludności]]*Tabela1[[#This Row],[Stała]]</f>
        <v>11.933962264150944</v>
      </c>
      <c r="M10">
        <v>253</v>
      </c>
    </row>
    <row r="11" spans="1:15" x14ac:dyDescent="0.25">
      <c r="A11" t="s">
        <v>11</v>
      </c>
      <c r="B11" t="s">
        <v>66</v>
      </c>
      <c r="C11">
        <v>2024</v>
      </c>
      <c r="D11" t="s">
        <v>36</v>
      </c>
      <c r="E11" t="s">
        <v>37</v>
      </c>
      <c r="F11">
        <v>2</v>
      </c>
      <c r="G11">
        <v>28</v>
      </c>
      <c r="H11">
        <v>17</v>
      </c>
      <c r="I11">
        <v>42</v>
      </c>
      <c r="J11" s="1">
        <v>1135201</v>
      </c>
      <c r="K11" s="1">
        <v>100000</v>
      </c>
      <c r="L11" s="1">
        <f>Tabela1[[#This Row],[Liczba samobójstw w 2024]]/Tabela1[[#This Row],[Liczba ludności]]*Tabela1[[#This Row],[Stała]]</f>
        <v>12.068347367558696</v>
      </c>
      <c r="M11">
        <v>137</v>
      </c>
    </row>
    <row r="12" spans="1:15" x14ac:dyDescent="0.25">
      <c r="A12" t="s">
        <v>12</v>
      </c>
      <c r="B12" t="s">
        <v>67</v>
      </c>
      <c r="C12">
        <v>2024</v>
      </c>
      <c r="D12" t="s">
        <v>38</v>
      </c>
      <c r="E12" t="s">
        <v>39</v>
      </c>
      <c r="F12">
        <v>3</v>
      </c>
      <c r="G12">
        <v>71</v>
      </c>
      <c r="H12">
        <v>42</v>
      </c>
      <c r="I12">
        <v>67</v>
      </c>
      <c r="J12" s="1">
        <v>2300000</v>
      </c>
      <c r="K12" s="1">
        <v>100000</v>
      </c>
      <c r="L12" s="1">
        <f>Tabela1[[#This Row],[Liczba samobójstw w 2024]]/Tabela1[[#This Row],[Liczba ludności]]*Tabela1[[#This Row],[Stała]]</f>
        <v>13.260869565217391</v>
      </c>
      <c r="M12">
        <v>305</v>
      </c>
    </row>
    <row r="13" spans="1:15" x14ac:dyDescent="0.25">
      <c r="A13" t="s">
        <v>13</v>
      </c>
      <c r="B13" t="s">
        <v>68</v>
      </c>
      <c r="C13">
        <v>2024</v>
      </c>
      <c r="D13" t="s">
        <v>40</v>
      </c>
      <c r="E13" t="s">
        <v>41</v>
      </c>
      <c r="F13">
        <v>17</v>
      </c>
      <c r="G13">
        <v>108</v>
      </c>
      <c r="H13">
        <v>85</v>
      </c>
      <c r="I13">
        <v>106</v>
      </c>
      <c r="J13" s="1">
        <v>4500000</v>
      </c>
      <c r="K13" s="1">
        <v>100000</v>
      </c>
      <c r="L13" s="1">
        <f>Tabela1[[#This Row],[Liczba samobójstw w 2024]]/Tabela1[[#This Row],[Liczba ludności]]*Tabela1[[#This Row],[Stała]]</f>
        <v>10.955555555555556</v>
      </c>
      <c r="M13">
        <v>493</v>
      </c>
    </row>
    <row r="14" spans="1:15" x14ac:dyDescent="0.25">
      <c r="A14" t="s">
        <v>14</v>
      </c>
      <c r="B14" t="s">
        <v>69</v>
      </c>
      <c r="C14">
        <v>2024</v>
      </c>
      <c r="D14" t="s">
        <v>42</v>
      </c>
      <c r="E14" t="s">
        <v>43</v>
      </c>
      <c r="F14">
        <v>14</v>
      </c>
      <c r="G14">
        <v>32</v>
      </c>
      <c r="H14">
        <v>40</v>
      </c>
      <c r="I14">
        <v>47</v>
      </c>
      <c r="J14" s="1">
        <v>1200000</v>
      </c>
      <c r="K14" s="1">
        <v>100000</v>
      </c>
      <c r="L14" s="1">
        <f>Tabela1[[#This Row],[Liczba samobójstw w 2024]]/Tabela1[[#This Row],[Liczba ludności]]*Tabela1[[#This Row],[Stała]]</f>
        <v>13.5</v>
      </c>
      <c r="M14">
        <v>162</v>
      </c>
    </row>
    <row r="15" spans="1:15" x14ac:dyDescent="0.25">
      <c r="A15" t="s">
        <v>15</v>
      </c>
      <c r="B15" t="s">
        <v>72</v>
      </c>
      <c r="C15">
        <v>2024</v>
      </c>
      <c r="D15" t="s">
        <v>44</v>
      </c>
      <c r="E15" t="s">
        <v>45</v>
      </c>
      <c r="F15">
        <v>2</v>
      </c>
      <c r="G15">
        <v>36</v>
      </c>
      <c r="H15">
        <v>27</v>
      </c>
      <c r="I15">
        <v>58</v>
      </c>
      <c r="J15" s="1">
        <v>1420000</v>
      </c>
      <c r="K15" s="1">
        <v>100000</v>
      </c>
      <c r="L15" s="1">
        <f>Tabela1[[#This Row],[Liczba samobójstw w 2024]]/Tabela1[[#This Row],[Liczba ludności]]*Tabela1[[#This Row],[Stała]]</f>
        <v>14.577464788732394</v>
      </c>
      <c r="M15">
        <v>207</v>
      </c>
    </row>
    <row r="16" spans="1:15" x14ac:dyDescent="0.25">
      <c r="A16" t="s">
        <v>16</v>
      </c>
      <c r="B16" t="s">
        <v>70</v>
      </c>
      <c r="C16">
        <v>2024</v>
      </c>
      <c r="D16" t="s">
        <v>24</v>
      </c>
      <c r="E16" t="s">
        <v>46</v>
      </c>
      <c r="F16">
        <v>12</v>
      </c>
      <c r="G16">
        <v>96</v>
      </c>
      <c r="H16">
        <v>55</v>
      </c>
      <c r="I16">
        <v>123</v>
      </c>
      <c r="J16" s="1">
        <v>3470000</v>
      </c>
      <c r="K16" s="1">
        <v>100000</v>
      </c>
      <c r="L16" s="1">
        <f>Tabela1[[#This Row],[Liczba samobójstw w 2024]]/Tabela1[[#This Row],[Liczba ludności]]*Tabela1[[#This Row],[Stała]]</f>
        <v>12.420749279538907</v>
      </c>
      <c r="M16">
        <v>431</v>
      </c>
    </row>
    <row r="17" spans="1:13" x14ac:dyDescent="0.25">
      <c r="A17" t="s">
        <v>17</v>
      </c>
      <c r="B17" t="s">
        <v>71</v>
      </c>
      <c r="C17">
        <v>2024</v>
      </c>
      <c r="D17" t="s">
        <v>47</v>
      </c>
      <c r="E17" t="s">
        <v>48</v>
      </c>
      <c r="F17">
        <v>9</v>
      </c>
      <c r="G17">
        <v>50</v>
      </c>
      <c r="H17">
        <v>57</v>
      </c>
      <c r="I17">
        <v>54</v>
      </c>
      <c r="J17" s="1">
        <v>1690000</v>
      </c>
      <c r="K17" s="1">
        <v>100000</v>
      </c>
      <c r="L17" s="1">
        <f>Tabela1[[#This Row],[Liczba samobójstw w 2024]]/Tabela1[[#This Row],[Liczba ludności]]*Tabela1[[#This Row],[Stała]]</f>
        <v>15.207100591715976</v>
      </c>
      <c r="M17">
        <v>257</v>
      </c>
    </row>
    <row r="19" spans="1:13" x14ac:dyDescent="0.25">
      <c r="J19" s="1"/>
      <c r="K19" s="1"/>
    </row>
    <row r="20" spans="1:13" x14ac:dyDescent="0.25">
      <c r="F20" s="3"/>
      <c r="G20" s="4"/>
      <c r="H20" s="4"/>
      <c r="I20" s="4"/>
      <c r="J20" s="2"/>
      <c r="K20" s="2"/>
      <c r="L20" s="2"/>
      <c r="M2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firago</dc:creator>
  <cp:lastModifiedBy>pawel firago</cp:lastModifiedBy>
  <dcterms:created xsi:type="dcterms:W3CDTF">2025-12-19T10:00:46Z</dcterms:created>
  <dcterms:modified xsi:type="dcterms:W3CDTF">2025-12-23T21:52:45Z</dcterms:modified>
</cp:coreProperties>
</file>