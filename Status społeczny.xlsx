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wel\OneDrive\Desktop\TwojKatalog\Proby_samobojcze\"/>
    </mc:Choice>
  </mc:AlternateContent>
  <xr:revisionPtr revIDLastSave="0" documentId="13_ncr:1_{22E3D809-2029-4A97-A5D4-6968EC803F1A}" xr6:coauthVersionLast="47" xr6:coauthVersionMax="47" xr10:uidLastSave="{00000000-0000-0000-0000-000000000000}"/>
  <bookViews>
    <workbookView xWindow="-120" yWindow="-120" windowWidth="29040" windowHeight="15720" xr2:uid="{039B0743-CC66-4595-AF66-DC113FDAA098}"/>
  </bookViews>
  <sheets>
    <sheet name="Arkusz1" sheetId="1" r:id="rId1"/>
  </sheets>
  <definedNames>
    <definedName name="ExternalData_1" localSheetId="0" hidden="1">Arkusz1!$A$1:$I$145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47" i="1" l="1"/>
  <c r="M147" i="1"/>
  <c r="L147" i="1"/>
  <c r="J147" i="1"/>
  <c r="J149" i="1"/>
  <c r="J148" i="1"/>
  <c r="G149" i="1"/>
  <c r="H149" i="1"/>
  <c r="I149" i="1"/>
  <c r="F149" i="1"/>
  <c r="H148" i="1"/>
  <c r="G148" i="1"/>
  <c r="I148" i="1"/>
  <c r="F148" i="1"/>
  <c r="I147" i="1"/>
  <c r="F147" i="1"/>
  <c r="H147" i="1"/>
  <c r="G147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70B043D-5281-43AE-B207-DB530A85A098}" keepAlive="1" name="Zapytanie — Status społeczny" description="Połączenie z zapytaniem „Status społeczny” w skoroszycie." type="5" refreshedVersion="8" background="1" saveData="1">
    <dbPr connection="Provider=Microsoft.Mashup.OleDb.1;Data Source=$Workbook$;Location=&quot;Status społeczny&quot;;Extended Properties=&quot;&quot;" command="SELECT * FROM [Status społeczny]"/>
  </connection>
</connections>
</file>

<file path=xl/sharedStrings.xml><?xml version="1.0" encoding="utf-8"?>
<sst xmlns="http://schemas.openxmlformats.org/spreadsheetml/2006/main" count="155" uniqueCount="29">
  <si>
    <t>Rok</t>
  </si>
  <si>
    <t>KWP</t>
  </si>
  <si>
    <t>Liczba całkowita samobójstw</t>
  </si>
  <si>
    <t>Mężczyźni</t>
  </si>
  <si>
    <t>Kobiety</t>
  </si>
  <si>
    <t>Rolnik</t>
  </si>
  <si>
    <t>Uczeń</t>
  </si>
  <si>
    <t>Student</t>
  </si>
  <si>
    <t>Bezrobotny</t>
  </si>
  <si>
    <t>KWP Bydgoszcz</t>
  </si>
  <si>
    <t>KWP Białystok</t>
  </si>
  <si>
    <t>KWP Gdańsk</t>
  </si>
  <si>
    <t>KWP Gorzów Wlkp.</t>
  </si>
  <si>
    <t>KWP Katowice</t>
  </si>
  <si>
    <t>KWP Kielce</t>
  </si>
  <si>
    <t>KWP Kraków</t>
  </si>
  <si>
    <t>KWP Łódź</t>
  </si>
  <si>
    <t>KWP Lublin</t>
  </si>
  <si>
    <t>KWP Olsztyn</t>
  </si>
  <si>
    <t>KWP Opole</t>
  </si>
  <si>
    <t>KWP Poznań</t>
  </si>
  <si>
    <t>KWP Rzeszów</t>
  </si>
  <si>
    <t>KWP Szczecin</t>
  </si>
  <si>
    <t>KSP Warszawa</t>
  </si>
  <si>
    <t>KWP Radom</t>
  </si>
  <si>
    <t>KWP Wrocław</t>
  </si>
  <si>
    <t>Polska</t>
  </si>
  <si>
    <t>WSK_PROCENT</t>
  </si>
  <si>
    <t>Pracujacy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</si>
</sst>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8"/>
      <color rgb="FF000000"/>
      <name val="Aptos Narrow"/>
      <family val="2"/>
      <charset val="238"/>
      <scheme val="minor"/>
    </font>
    <font>
      <sz val="11"/>
      <color rgb="FF000000"/>
      <name val="Aptos Narrow"/>
      <family val="2"/>
      <charset val="238"/>
      <scheme val="minor"/>
    </font>
    <font>
      <b/>
      <sz val="11"/>
      <color rgb="FF000000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10" fontId="0" fillId="0" borderId="0" xfId="0" applyNumberFormat="1"/>
    <xf numFmtId="9" fontId="0" fillId="0" borderId="0" xfId="1" applyFont="1"/>
    <xf numFmtId="10" fontId="2" fillId="0" borderId="0" xfId="0" applyNumberFormat="1" applyFont="1" applyAlignment="1">
      <alignment horizontal="right" vertical="top"/>
    </xf>
    <xf numFmtId="1" fontId="3" fillId="0" borderId="0" xfId="0" applyNumberFormat="1" applyFont="1" applyAlignment="1">
      <alignment horizontal="right" vertical="top" wrapText="1"/>
    </xf>
    <xf numFmtId="1" fontId="4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" fontId="4" fillId="0" borderId="0" xfId="0" applyNumberFormat="1" applyFont="1" applyAlignment="1">
      <alignment horizontal="right" vertical="top" wrapText="1"/>
    </xf>
  </cellXfs>
  <cellStyles count="2">
    <cellStyle name="Normalny" xfId="0" builtinId="0"/>
    <cellStyle name="Procentowy" xfId="1" builtinId="5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charset val="238"/>
        <scheme val="minor"/>
      </font>
      <numFmt numFmtId="1" formatCode="0"/>
      <alignment horizontal="right" vertical="top" textRotation="0" wrapText="1" indent="0" justifyLastLine="0" shrinkToFit="0" readingOrder="0"/>
    </dxf>
    <dxf>
      <fill>
        <patternFill>
          <bgColor rgb="FFFF0000"/>
        </patternFill>
      </fill>
    </dxf>
    <dxf>
      <numFmt numFmtId="0" formatCode="General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50442C3-5636-49FE-8201-6AEFE3E82DA8}" autoFormatId="16" applyNumberFormats="0" applyBorderFormats="0" applyFontFormats="0" applyPatternFormats="0" applyAlignmentFormats="0" applyWidthHeightFormats="0">
  <queryTableRefresh nextId="22" unboundColumnsRight="1">
    <queryTableFields count="10">
      <queryTableField id="1" name="Rok" tableColumnId="1"/>
      <queryTableField id="2" name="KWP" tableColumnId="2"/>
      <queryTableField id="3" name="Liczba całkowita samobójstw" tableColumnId="3"/>
      <queryTableField id="4" name="Mężczyźni" tableColumnId="4"/>
      <queryTableField id="5" name="Kobiety" tableColumnId="5"/>
      <queryTableField id="16" name="Rolnik" tableColumnId="16"/>
      <queryTableField id="17" name="- Uczeń" tableColumnId="17"/>
      <queryTableField id="18" name="- Student" tableColumnId="18"/>
      <queryTableField id="19" name="Bezrobotny" tableColumnId="19"/>
      <queryTableField id="21" dataBound="0" tableColumnId="7"/>
    </queryTableFields>
    <queryTableDeletedFields count="10">
      <deletedField name="Kawaler/panna"/>
      <deletedField name="Żonaty/zamężna"/>
      <deletedField name="Konkubin(a)"/>
      <deletedField name="Wdowiec/wdowa"/>
      <deletedField name="Rozwiedziony(a)"/>
      <deletedField name="Podstawowe"/>
      <deletedField name="Gimnazjalne"/>
      <deletedField name="Zasadnicze zawodowe"/>
      <deletedField name="Średnie"/>
      <deletedField name="Wyższ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C38553-B7E8-482D-91D0-B3CC25392C34}" name="Status_społeczny" displayName="Status_społeczny" ref="A1:J145" tableType="queryTable" totalsRowShown="0" headerRowDxfId="3">
  <autoFilter ref="A1:J145" xr:uid="{1FC38553-B7E8-482D-91D0-B3CC25392C34}">
    <filterColumn colId="0">
      <filters>
        <filter val="2024"/>
      </filters>
    </filterColumn>
  </autoFilter>
  <tableColumns count="10">
    <tableColumn id="1" xr3:uid="{0C9FCF40-FEDF-42FA-A3A5-10F03CE78A52}" uniqueName="1" name="Rok" queryTableFieldId="1"/>
    <tableColumn id="2" xr3:uid="{D28372FF-49ED-4AE8-927E-3066123B4187}" uniqueName="2" name="KWP" queryTableFieldId="2" dataDxfId="2"/>
    <tableColumn id="3" xr3:uid="{40CFEE3A-2AA5-41C4-85D0-638AEA51B5C7}" uniqueName="3" name="Liczba całkowita samobójstw" queryTableFieldId="3"/>
    <tableColumn id="4" xr3:uid="{18CB9298-406A-41D5-97EE-56BAB8B07EF1}" uniqueName="4" name="Mężczyźni" queryTableFieldId="4"/>
    <tableColumn id="5" xr3:uid="{CF6492F6-FAA7-4B09-9324-0B40291BB5AF}" uniqueName="5" name="Kobiety" queryTableFieldId="5"/>
    <tableColumn id="16" xr3:uid="{DE4AC8F0-0293-4925-96A5-F054171FB5EF}" uniqueName="16" name="Rolnik" queryTableFieldId="16"/>
    <tableColumn id="17" xr3:uid="{50A82CFC-61BB-4D95-B394-713B200E0AB9}" uniqueName="17" name="Uczeń" queryTableFieldId="17"/>
    <tableColumn id="18" xr3:uid="{C11C33BE-D92C-4F2E-ADFC-D01C23649BA9}" uniqueName="18" name="Student" queryTableFieldId="18"/>
    <tableColumn id="19" xr3:uid="{F7597115-F557-4CD5-9AEE-DC34F203AFB9}" uniqueName="19" name="Bezrobotny" queryTableFieldId="19"/>
    <tableColumn id="7" xr3:uid="{17725AEA-EEC3-4536-8DDE-E1D156377622}" uniqueName="7" name="Pracujacy" queryTableFieldId="2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E37CF-1131-4397-9F9B-D9C40AAF5936}">
  <dimension ref="A1:N149"/>
  <sheetViews>
    <sheetView tabSelected="1" workbookViewId="0">
      <selection activeCell="N148" sqref="N148"/>
    </sheetView>
  </sheetViews>
  <sheetFormatPr defaultRowHeight="15" x14ac:dyDescent="0.25"/>
  <cols>
    <col min="2" max="2" width="16.7109375" customWidth="1"/>
    <col min="3" max="3" width="23.28515625" customWidth="1"/>
    <col min="4" max="4" width="12.28515625" customWidth="1"/>
    <col min="9" max="9" width="19.7109375" customWidth="1"/>
    <col min="10" max="10" width="13" customWidth="1"/>
  </cols>
  <sheetData>
    <row r="1" spans="1:10" ht="57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28</v>
      </c>
    </row>
    <row r="2" spans="1:10" hidden="1" x14ac:dyDescent="0.25">
      <c r="A2">
        <v>2017</v>
      </c>
      <c r="B2" t="s">
        <v>9</v>
      </c>
      <c r="C2">
        <v>247</v>
      </c>
      <c r="D2">
        <v>216</v>
      </c>
      <c r="E2">
        <v>31</v>
      </c>
      <c r="F2">
        <v>8</v>
      </c>
      <c r="G2">
        <v>7</v>
      </c>
      <c r="H2">
        <v>2</v>
      </c>
      <c r="I2">
        <v>43</v>
      </c>
      <c r="J2" s="5">
        <v>69</v>
      </c>
    </row>
    <row r="3" spans="1:10" hidden="1" x14ac:dyDescent="0.25">
      <c r="A3">
        <v>2017</v>
      </c>
      <c r="B3" t="s">
        <v>10</v>
      </c>
      <c r="C3">
        <v>142</v>
      </c>
      <c r="D3">
        <v>111</v>
      </c>
      <c r="E3">
        <v>31</v>
      </c>
      <c r="F3">
        <v>13</v>
      </c>
      <c r="G3">
        <v>6</v>
      </c>
      <c r="H3">
        <v>1</v>
      </c>
      <c r="I3">
        <v>26</v>
      </c>
      <c r="J3" s="5">
        <v>85</v>
      </c>
    </row>
    <row r="4" spans="1:10" hidden="1" x14ac:dyDescent="0.25">
      <c r="A4">
        <v>2017</v>
      </c>
      <c r="B4" t="s">
        <v>11</v>
      </c>
      <c r="C4">
        <v>318</v>
      </c>
      <c r="D4">
        <v>266</v>
      </c>
      <c r="E4">
        <v>52</v>
      </c>
      <c r="F4">
        <v>4</v>
      </c>
      <c r="G4">
        <v>8</v>
      </c>
      <c r="H4">
        <v>1</v>
      </c>
      <c r="I4">
        <v>48</v>
      </c>
      <c r="J4" s="5">
        <v>86</v>
      </c>
    </row>
    <row r="5" spans="1:10" hidden="1" x14ac:dyDescent="0.25">
      <c r="A5">
        <v>2017</v>
      </c>
      <c r="B5" t="s">
        <v>12</v>
      </c>
      <c r="C5">
        <v>166</v>
      </c>
      <c r="D5">
        <v>139</v>
      </c>
      <c r="E5">
        <v>27</v>
      </c>
      <c r="F5">
        <v>2</v>
      </c>
      <c r="G5">
        <v>5</v>
      </c>
      <c r="H5">
        <v>2</v>
      </c>
      <c r="I5">
        <v>20</v>
      </c>
      <c r="J5" s="5">
        <v>38</v>
      </c>
    </row>
    <row r="6" spans="1:10" hidden="1" x14ac:dyDescent="0.25">
      <c r="A6">
        <v>2017</v>
      </c>
      <c r="B6" t="s">
        <v>13</v>
      </c>
      <c r="C6">
        <v>601</v>
      </c>
      <c r="D6">
        <v>513</v>
      </c>
      <c r="E6">
        <v>88</v>
      </c>
      <c r="F6">
        <v>3</v>
      </c>
      <c r="G6">
        <v>7</v>
      </c>
      <c r="H6">
        <v>3</v>
      </c>
      <c r="I6">
        <v>118</v>
      </c>
      <c r="J6" s="5">
        <v>388</v>
      </c>
    </row>
    <row r="7" spans="1:10" hidden="1" x14ac:dyDescent="0.25">
      <c r="A7">
        <v>2017</v>
      </c>
      <c r="B7" t="s">
        <v>14</v>
      </c>
      <c r="C7">
        <v>199</v>
      </c>
      <c r="D7">
        <v>179</v>
      </c>
      <c r="E7">
        <v>20</v>
      </c>
      <c r="F7">
        <v>19</v>
      </c>
      <c r="G7">
        <v>3</v>
      </c>
      <c r="H7">
        <v>0</v>
      </c>
      <c r="I7">
        <v>53</v>
      </c>
      <c r="J7" s="5">
        <v>138</v>
      </c>
    </row>
    <row r="8" spans="1:10" hidden="1" x14ac:dyDescent="0.25">
      <c r="A8">
        <v>2017</v>
      </c>
      <c r="B8" t="s">
        <v>15</v>
      </c>
      <c r="C8">
        <v>414</v>
      </c>
      <c r="D8">
        <v>340</v>
      </c>
      <c r="E8">
        <v>73</v>
      </c>
      <c r="F8">
        <v>24</v>
      </c>
      <c r="G8">
        <v>10</v>
      </c>
      <c r="H8">
        <v>6</v>
      </c>
      <c r="I8">
        <v>55</v>
      </c>
      <c r="J8" s="5">
        <v>198</v>
      </c>
    </row>
    <row r="9" spans="1:10" hidden="1" x14ac:dyDescent="0.25">
      <c r="A9">
        <v>2017</v>
      </c>
      <c r="B9" t="s">
        <v>16</v>
      </c>
      <c r="C9">
        <v>380</v>
      </c>
      <c r="D9">
        <v>325</v>
      </c>
      <c r="E9">
        <v>55</v>
      </c>
      <c r="F9">
        <v>26</v>
      </c>
      <c r="G9">
        <v>8</v>
      </c>
      <c r="H9">
        <v>1</v>
      </c>
      <c r="I9">
        <v>78</v>
      </c>
      <c r="J9" s="5">
        <v>276</v>
      </c>
    </row>
    <row r="10" spans="1:10" hidden="1" x14ac:dyDescent="0.25">
      <c r="A10">
        <v>2017</v>
      </c>
      <c r="B10" t="s">
        <v>17</v>
      </c>
      <c r="C10">
        <v>331</v>
      </c>
      <c r="D10">
        <v>283</v>
      </c>
      <c r="E10">
        <v>48</v>
      </c>
      <c r="F10">
        <v>27</v>
      </c>
      <c r="G10">
        <v>6</v>
      </c>
      <c r="H10">
        <v>8</v>
      </c>
      <c r="I10">
        <v>74</v>
      </c>
      <c r="J10" s="5">
        <v>125</v>
      </c>
    </row>
    <row r="11" spans="1:10" hidden="1" x14ac:dyDescent="0.25">
      <c r="A11">
        <v>2017</v>
      </c>
      <c r="B11" t="s">
        <v>18</v>
      </c>
      <c r="C11">
        <v>226</v>
      </c>
      <c r="D11">
        <v>192</v>
      </c>
      <c r="E11">
        <v>34</v>
      </c>
      <c r="F11">
        <v>3</v>
      </c>
      <c r="G11">
        <v>9</v>
      </c>
      <c r="H11">
        <v>1</v>
      </c>
      <c r="I11">
        <v>45</v>
      </c>
      <c r="J11" s="5">
        <v>99</v>
      </c>
    </row>
    <row r="12" spans="1:10" hidden="1" x14ac:dyDescent="0.25">
      <c r="A12">
        <v>2017</v>
      </c>
      <c r="B12" t="s">
        <v>19</v>
      </c>
      <c r="C12">
        <v>126</v>
      </c>
      <c r="D12">
        <v>109</v>
      </c>
      <c r="E12">
        <v>17</v>
      </c>
      <c r="F12">
        <v>7</v>
      </c>
      <c r="G12">
        <v>1</v>
      </c>
      <c r="H12">
        <v>0</v>
      </c>
      <c r="I12">
        <v>32</v>
      </c>
      <c r="J12" s="5">
        <v>70</v>
      </c>
    </row>
    <row r="13" spans="1:10" hidden="1" x14ac:dyDescent="0.25">
      <c r="A13">
        <v>2017</v>
      </c>
      <c r="B13" t="s">
        <v>20</v>
      </c>
      <c r="C13">
        <v>411</v>
      </c>
      <c r="D13">
        <v>353</v>
      </c>
      <c r="E13">
        <v>58</v>
      </c>
      <c r="F13">
        <v>21</v>
      </c>
      <c r="G13">
        <v>10</v>
      </c>
      <c r="H13">
        <v>1</v>
      </c>
      <c r="I13">
        <v>75</v>
      </c>
      <c r="J13" s="5">
        <v>167</v>
      </c>
    </row>
    <row r="14" spans="1:10" hidden="1" x14ac:dyDescent="0.25">
      <c r="A14">
        <v>2017</v>
      </c>
      <c r="B14" t="s">
        <v>21</v>
      </c>
      <c r="C14">
        <v>285</v>
      </c>
      <c r="D14">
        <v>249</v>
      </c>
      <c r="E14">
        <v>36</v>
      </c>
      <c r="F14">
        <v>12</v>
      </c>
      <c r="G14">
        <v>5</v>
      </c>
      <c r="H14">
        <v>2</v>
      </c>
      <c r="I14">
        <v>62</v>
      </c>
      <c r="J14" s="5">
        <v>128</v>
      </c>
    </row>
    <row r="15" spans="1:10" hidden="1" x14ac:dyDescent="0.25">
      <c r="A15">
        <v>2017</v>
      </c>
      <c r="B15" t="s">
        <v>22</v>
      </c>
      <c r="C15">
        <v>249</v>
      </c>
      <c r="D15">
        <v>203</v>
      </c>
      <c r="E15">
        <v>46</v>
      </c>
      <c r="F15">
        <v>2</v>
      </c>
      <c r="G15">
        <v>4</v>
      </c>
      <c r="H15">
        <v>1</v>
      </c>
      <c r="I15">
        <v>60</v>
      </c>
      <c r="J15" s="5">
        <v>105</v>
      </c>
    </row>
    <row r="16" spans="1:10" hidden="1" x14ac:dyDescent="0.25">
      <c r="A16">
        <v>2017</v>
      </c>
      <c r="B16" t="s">
        <v>23</v>
      </c>
      <c r="C16">
        <v>348</v>
      </c>
      <c r="D16">
        <v>304</v>
      </c>
      <c r="E16">
        <v>44</v>
      </c>
      <c r="F16">
        <v>4</v>
      </c>
      <c r="G16">
        <v>6</v>
      </c>
      <c r="H16">
        <v>11</v>
      </c>
      <c r="I16">
        <v>68</v>
      </c>
      <c r="J16" s="5">
        <v>107</v>
      </c>
    </row>
    <row r="17" spans="1:10" hidden="1" x14ac:dyDescent="0.25">
      <c r="A17">
        <v>2017</v>
      </c>
      <c r="B17" t="s">
        <v>24</v>
      </c>
      <c r="C17">
        <v>393</v>
      </c>
      <c r="D17">
        <v>351</v>
      </c>
      <c r="E17">
        <v>42</v>
      </c>
      <c r="F17">
        <v>24</v>
      </c>
      <c r="G17">
        <v>13</v>
      </c>
      <c r="H17">
        <v>2</v>
      </c>
      <c r="I17">
        <v>78</v>
      </c>
      <c r="J17" s="5">
        <v>146</v>
      </c>
    </row>
    <row r="18" spans="1:10" hidden="1" x14ac:dyDescent="0.25">
      <c r="A18">
        <v>2017</v>
      </c>
      <c r="B18" t="s">
        <v>25</v>
      </c>
      <c r="C18">
        <v>440</v>
      </c>
      <c r="D18">
        <v>391</v>
      </c>
      <c r="E18">
        <v>49</v>
      </c>
      <c r="F18">
        <v>5</v>
      </c>
      <c r="G18">
        <v>11</v>
      </c>
      <c r="H18">
        <v>2</v>
      </c>
      <c r="I18">
        <v>89</v>
      </c>
      <c r="J18" s="5">
        <v>127</v>
      </c>
    </row>
    <row r="19" spans="1:10" hidden="1" x14ac:dyDescent="0.25">
      <c r="A19">
        <v>2017</v>
      </c>
      <c r="B19" t="s">
        <v>26</v>
      </c>
      <c r="C19">
        <v>5276</v>
      </c>
      <c r="D19">
        <v>4524</v>
      </c>
      <c r="E19">
        <v>751</v>
      </c>
      <c r="F19">
        <v>204</v>
      </c>
      <c r="G19">
        <v>119</v>
      </c>
      <c r="H19">
        <v>44</v>
      </c>
      <c r="I19">
        <v>1024</v>
      </c>
      <c r="J19" s="6">
        <v>2352</v>
      </c>
    </row>
    <row r="20" spans="1:10" hidden="1" x14ac:dyDescent="0.25">
      <c r="A20">
        <v>2018</v>
      </c>
      <c r="B20" t="s">
        <v>9</v>
      </c>
      <c r="C20">
        <v>281</v>
      </c>
      <c r="D20">
        <v>239</v>
      </c>
      <c r="E20">
        <v>42</v>
      </c>
      <c r="F20">
        <v>14</v>
      </c>
      <c r="G20">
        <v>9</v>
      </c>
      <c r="H20">
        <v>4</v>
      </c>
      <c r="I20">
        <v>46</v>
      </c>
      <c r="J20" s="5">
        <v>65</v>
      </c>
    </row>
    <row r="21" spans="1:10" hidden="1" x14ac:dyDescent="0.25">
      <c r="A21">
        <v>2018</v>
      </c>
      <c r="B21" t="s">
        <v>10</v>
      </c>
      <c r="C21">
        <v>139</v>
      </c>
      <c r="D21">
        <v>124</v>
      </c>
      <c r="E21">
        <v>15</v>
      </c>
      <c r="F21">
        <v>17</v>
      </c>
      <c r="G21">
        <v>0</v>
      </c>
      <c r="H21">
        <v>0</v>
      </c>
      <c r="I21">
        <v>27</v>
      </c>
      <c r="J21" s="5">
        <v>69</v>
      </c>
    </row>
    <row r="22" spans="1:10" hidden="1" x14ac:dyDescent="0.25">
      <c r="A22">
        <v>2018</v>
      </c>
      <c r="B22" t="s">
        <v>11</v>
      </c>
      <c r="C22">
        <v>274</v>
      </c>
      <c r="D22">
        <v>240</v>
      </c>
      <c r="E22">
        <v>34</v>
      </c>
      <c r="F22">
        <v>7</v>
      </c>
      <c r="G22">
        <v>9</v>
      </c>
      <c r="H22">
        <v>3</v>
      </c>
      <c r="I22">
        <v>37</v>
      </c>
      <c r="J22" s="5">
        <v>102</v>
      </c>
    </row>
    <row r="23" spans="1:10" hidden="1" x14ac:dyDescent="0.25">
      <c r="A23">
        <v>2018</v>
      </c>
      <c r="B23" t="s">
        <v>12</v>
      </c>
      <c r="C23">
        <v>153</v>
      </c>
      <c r="D23">
        <v>129</v>
      </c>
      <c r="E23">
        <v>24</v>
      </c>
      <c r="F23">
        <v>0</v>
      </c>
      <c r="G23">
        <v>1</v>
      </c>
      <c r="H23">
        <v>0</v>
      </c>
      <c r="I23">
        <v>19</v>
      </c>
      <c r="J23" s="5">
        <v>37</v>
      </c>
    </row>
    <row r="24" spans="1:10" hidden="1" x14ac:dyDescent="0.25">
      <c r="A24">
        <v>2018</v>
      </c>
      <c r="B24" t="s">
        <v>13</v>
      </c>
      <c r="C24">
        <v>596</v>
      </c>
      <c r="D24">
        <v>530</v>
      </c>
      <c r="E24">
        <v>66</v>
      </c>
      <c r="F24">
        <v>5</v>
      </c>
      <c r="G24">
        <v>9</v>
      </c>
      <c r="H24">
        <v>9</v>
      </c>
      <c r="I24">
        <v>100</v>
      </c>
      <c r="J24" s="5">
        <v>375</v>
      </c>
    </row>
    <row r="25" spans="1:10" hidden="1" x14ac:dyDescent="0.25">
      <c r="A25">
        <v>2018</v>
      </c>
      <c r="B25" t="s">
        <v>14</v>
      </c>
      <c r="C25">
        <v>181</v>
      </c>
      <c r="D25">
        <v>151</v>
      </c>
      <c r="E25">
        <v>30</v>
      </c>
      <c r="F25">
        <v>18</v>
      </c>
      <c r="G25">
        <v>3</v>
      </c>
      <c r="H25">
        <v>0</v>
      </c>
      <c r="I25">
        <v>53</v>
      </c>
      <c r="J25" s="5">
        <v>135</v>
      </c>
    </row>
    <row r="26" spans="1:10" hidden="1" x14ac:dyDescent="0.25">
      <c r="A26">
        <v>2018</v>
      </c>
      <c r="B26" t="s">
        <v>15</v>
      </c>
      <c r="C26">
        <v>398</v>
      </c>
      <c r="D26">
        <v>335</v>
      </c>
      <c r="E26">
        <v>63</v>
      </c>
      <c r="F26">
        <v>16</v>
      </c>
      <c r="G26">
        <v>6</v>
      </c>
      <c r="H26">
        <v>2</v>
      </c>
      <c r="I26">
        <v>59</v>
      </c>
      <c r="J26" s="5">
        <v>172</v>
      </c>
    </row>
    <row r="27" spans="1:10" hidden="1" x14ac:dyDescent="0.25">
      <c r="A27">
        <v>2018</v>
      </c>
      <c r="B27" t="s">
        <v>16</v>
      </c>
      <c r="C27">
        <v>391</v>
      </c>
      <c r="D27">
        <v>324</v>
      </c>
      <c r="E27">
        <v>67</v>
      </c>
      <c r="F27">
        <v>27</v>
      </c>
      <c r="G27">
        <v>4</v>
      </c>
      <c r="H27">
        <v>3</v>
      </c>
      <c r="I27">
        <v>86</v>
      </c>
      <c r="J27" s="5">
        <v>300</v>
      </c>
    </row>
    <row r="28" spans="1:10" hidden="1" x14ac:dyDescent="0.25">
      <c r="A28">
        <v>2018</v>
      </c>
      <c r="B28" t="s">
        <v>17</v>
      </c>
      <c r="C28">
        <v>321</v>
      </c>
      <c r="D28">
        <v>279</v>
      </c>
      <c r="E28">
        <v>42</v>
      </c>
      <c r="F28">
        <v>26</v>
      </c>
      <c r="G28">
        <v>9</v>
      </c>
      <c r="H28">
        <v>1</v>
      </c>
      <c r="I28">
        <v>62</v>
      </c>
      <c r="J28" s="5">
        <v>143</v>
      </c>
    </row>
    <row r="29" spans="1:10" hidden="1" x14ac:dyDescent="0.25">
      <c r="A29">
        <v>2018</v>
      </c>
      <c r="B29" t="s">
        <v>18</v>
      </c>
      <c r="C29">
        <v>215</v>
      </c>
      <c r="D29">
        <v>193</v>
      </c>
      <c r="E29">
        <v>22</v>
      </c>
      <c r="F29">
        <v>7</v>
      </c>
      <c r="G29">
        <v>6</v>
      </c>
      <c r="H29">
        <v>1</v>
      </c>
      <c r="I29">
        <v>45</v>
      </c>
      <c r="J29" s="5">
        <v>104</v>
      </c>
    </row>
    <row r="30" spans="1:10" hidden="1" x14ac:dyDescent="0.25">
      <c r="A30">
        <v>2018</v>
      </c>
      <c r="B30" t="s">
        <v>19</v>
      </c>
      <c r="C30">
        <v>116</v>
      </c>
      <c r="D30">
        <v>100</v>
      </c>
      <c r="E30">
        <v>16</v>
      </c>
      <c r="F30">
        <v>2</v>
      </c>
      <c r="G30">
        <v>6</v>
      </c>
      <c r="H30">
        <v>0</v>
      </c>
      <c r="I30">
        <v>26</v>
      </c>
      <c r="J30" s="5">
        <v>63</v>
      </c>
    </row>
    <row r="31" spans="1:10" hidden="1" x14ac:dyDescent="0.25">
      <c r="A31">
        <v>2018</v>
      </c>
      <c r="B31" t="s">
        <v>20</v>
      </c>
      <c r="C31">
        <v>386</v>
      </c>
      <c r="D31">
        <v>337</v>
      </c>
      <c r="E31">
        <v>49</v>
      </c>
      <c r="F31">
        <v>29</v>
      </c>
      <c r="G31">
        <v>5</v>
      </c>
      <c r="H31">
        <v>2</v>
      </c>
      <c r="I31">
        <v>65</v>
      </c>
      <c r="J31" s="5">
        <v>171</v>
      </c>
    </row>
    <row r="32" spans="1:10" hidden="1" x14ac:dyDescent="0.25">
      <c r="A32">
        <v>2018</v>
      </c>
      <c r="B32" t="s">
        <v>21</v>
      </c>
      <c r="C32">
        <v>273</v>
      </c>
      <c r="D32">
        <v>239</v>
      </c>
      <c r="E32">
        <v>34</v>
      </c>
      <c r="F32">
        <v>10</v>
      </c>
      <c r="G32">
        <v>4</v>
      </c>
      <c r="H32">
        <v>2</v>
      </c>
      <c r="I32">
        <v>43</v>
      </c>
      <c r="J32" s="5">
        <v>139</v>
      </c>
    </row>
    <row r="33" spans="1:10" hidden="1" x14ac:dyDescent="0.25">
      <c r="A33">
        <v>2018</v>
      </c>
      <c r="B33" t="s">
        <v>22</v>
      </c>
      <c r="C33">
        <v>262</v>
      </c>
      <c r="D33">
        <v>227</v>
      </c>
      <c r="E33">
        <v>35</v>
      </c>
      <c r="F33">
        <v>4</v>
      </c>
      <c r="G33">
        <v>8</v>
      </c>
      <c r="H33">
        <v>1</v>
      </c>
      <c r="I33">
        <v>43</v>
      </c>
      <c r="J33" s="5">
        <v>95</v>
      </c>
    </row>
    <row r="34" spans="1:10" hidden="1" x14ac:dyDescent="0.25">
      <c r="A34">
        <v>2018</v>
      </c>
      <c r="B34" t="s">
        <v>23</v>
      </c>
      <c r="C34">
        <v>377</v>
      </c>
      <c r="D34">
        <v>318</v>
      </c>
      <c r="E34">
        <v>59</v>
      </c>
      <c r="F34">
        <v>3</v>
      </c>
      <c r="G34">
        <v>9</v>
      </c>
      <c r="H34">
        <v>6</v>
      </c>
      <c r="I34">
        <v>44</v>
      </c>
      <c r="J34" s="5">
        <v>95</v>
      </c>
    </row>
    <row r="35" spans="1:10" hidden="1" x14ac:dyDescent="0.25">
      <c r="A35">
        <v>2018</v>
      </c>
      <c r="B35" t="s">
        <v>24</v>
      </c>
      <c r="C35">
        <v>392</v>
      </c>
      <c r="D35">
        <v>349</v>
      </c>
      <c r="E35">
        <v>43</v>
      </c>
      <c r="F35">
        <v>36</v>
      </c>
      <c r="G35">
        <v>7</v>
      </c>
      <c r="H35">
        <v>3</v>
      </c>
      <c r="I35">
        <v>61</v>
      </c>
      <c r="J35" s="5">
        <v>149</v>
      </c>
    </row>
    <row r="36" spans="1:10" hidden="1" x14ac:dyDescent="0.25">
      <c r="A36">
        <v>2018</v>
      </c>
      <c r="B36" t="s">
        <v>25</v>
      </c>
      <c r="C36">
        <v>427</v>
      </c>
      <c r="D36">
        <v>357</v>
      </c>
      <c r="E36">
        <v>70</v>
      </c>
      <c r="F36">
        <v>6</v>
      </c>
      <c r="G36">
        <v>7</v>
      </c>
      <c r="H36">
        <v>2</v>
      </c>
      <c r="I36">
        <v>66</v>
      </c>
      <c r="J36" s="5">
        <v>156</v>
      </c>
    </row>
    <row r="37" spans="1:10" hidden="1" x14ac:dyDescent="0.25">
      <c r="A37">
        <v>2018</v>
      </c>
      <c r="B37" t="s">
        <v>26</v>
      </c>
      <c r="C37">
        <v>5182</v>
      </c>
      <c r="D37">
        <v>4471</v>
      </c>
      <c r="E37">
        <v>711</v>
      </c>
      <c r="F37">
        <v>227</v>
      </c>
      <c r="G37">
        <v>102</v>
      </c>
      <c r="H37">
        <v>39</v>
      </c>
      <c r="I37">
        <v>882</v>
      </c>
      <c r="J37" s="6">
        <v>2370</v>
      </c>
    </row>
    <row r="38" spans="1:10" hidden="1" x14ac:dyDescent="0.25">
      <c r="A38">
        <v>2019</v>
      </c>
      <c r="B38" t="s">
        <v>9</v>
      </c>
      <c r="C38">
        <v>260</v>
      </c>
      <c r="D38">
        <v>228</v>
      </c>
      <c r="E38">
        <v>32</v>
      </c>
      <c r="F38">
        <v>9</v>
      </c>
      <c r="G38">
        <v>4</v>
      </c>
      <c r="H38">
        <v>1</v>
      </c>
      <c r="I38">
        <v>44</v>
      </c>
      <c r="J38" s="7">
        <v>76</v>
      </c>
    </row>
    <row r="39" spans="1:10" hidden="1" x14ac:dyDescent="0.25">
      <c r="A39">
        <v>2019</v>
      </c>
      <c r="B39" t="s">
        <v>10</v>
      </c>
      <c r="C39">
        <v>172</v>
      </c>
      <c r="D39">
        <v>147</v>
      </c>
      <c r="E39">
        <v>25</v>
      </c>
      <c r="F39">
        <v>26</v>
      </c>
      <c r="G39">
        <v>1</v>
      </c>
      <c r="H39">
        <v>3</v>
      </c>
      <c r="I39">
        <v>24</v>
      </c>
      <c r="J39" s="5">
        <v>83</v>
      </c>
    </row>
    <row r="40" spans="1:10" hidden="1" x14ac:dyDescent="0.25">
      <c r="A40">
        <v>2019</v>
      </c>
      <c r="B40" t="s">
        <v>11</v>
      </c>
      <c r="C40">
        <v>313</v>
      </c>
      <c r="D40">
        <v>265</v>
      </c>
      <c r="E40">
        <v>48</v>
      </c>
      <c r="F40">
        <v>5</v>
      </c>
      <c r="G40">
        <v>4</v>
      </c>
      <c r="H40">
        <v>0</v>
      </c>
      <c r="I40">
        <v>40</v>
      </c>
      <c r="J40" s="5">
        <v>110</v>
      </c>
    </row>
    <row r="41" spans="1:10" hidden="1" x14ac:dyDescent="0.25">
      <c r="A41">
        <v>2019</v>
      </c>
      <c r="B41" t="s">
        <v>12</v>
      </c>
      <c r="C41">
        <v>176</v>
      </c>
      <c r="D41">
        <v>150</v>
      </c>
      <c r="E41">
        <v>26</v>
      </c>
      <c r="F41">
        <v>0</v>
      </c>
      <c r="G41">
        <v>3</v>
      </c>
      <c r="H41">
        <v>0</v>
      </c>
      <c r="I41">
        <v>19</v>
      </c>
      <c r="J41" s="5">
        <v>59</v>
      </c>
    </row>
    <row r="42" spans="1:10" hidden="1" x14ac:dyDescent="0.25">
      <c r="A42">
        <v>2019</v>
      </c>
      <c r="B42" t="s">
        <v>13</v>
      </c>
      <c r="C42">
        <v>548</v>
      </c>
      <c r="D42">
        <v>455</v>
      </c>
      <c r="E42">
        <v>93</v>
      </c>
      <c r="F42">
        <v>0</v>
      </c>
      <c r="G42">
        <v>8</v>
      </c>
      <c r="H42">
        <v>6</v>
      </c>
      <c r="I42">
        <v>87</v>
      </c>
      <c r="J42" s="5">
        <v>350</v>
      </c>
    </row>
    <row r="43" spans="1:10" hidden="1" x14ac:dyDescent="0.25">
      <c r="A43">
        <v>2019</v>
      </c>
      <c r="B43" t="s">
        <v>14</v>
      </c>
      <c r="C43">
        <v>190</v>
      </c>
      <c r="D43">
        <v>164</v>
      </c>
      <c r="E43">
        <v>26</v>
      </c>
      <c r="F43">
        <v>11</v>
      </c>
      <c r="G43">
        <v>0</v>
      </c>
      <c r="H43">
        <v>1</v>
      </c>
      <c r="I43">
        <v>53</v>
      </c>
      <c r="J43" s="5">
        <v>121</v>
      </c>
    </row>
    <row r="44" spans="1:10" hidden="1" x14ac:dyDescent="0.25">
      <c r="A44">
        <v>2019</v>
      </c>
      <c r="B44" t="s">
        <v>15</v>
      </c>
      <c r="C44">
        <v>432</v>
      </c>
      <c r="D44">
        <v>362</v>
      </c>
      <c r="E44">
        <v>70</v>
      </c>
      <c r="F44">
        <v>18</v>
      </c>
      <c r="G44">
        <v>13</v>
      </c>
      <c r="H44">
        <v>11</v>
      </c>
      <c r="I44">
        <v>60</v>
      </c>
      <c r="J44" s="5">
        <v>221</v>
      </c>
    </row>
    <row r="45" spans="1:10" hidden="1" x14ac:dyDescent="0.25">
      <c r="A45">
        <v>2019</v>
      </c>
      <c r="B45" t="s">
        <v>16</v>
      </c>
      <c r="C45">
        <v>345</v>
      </c>
      <c r="D45">
        <v>302</v>
      </c>
      <c r="E45">
        <v>43</v>
      </c>
      <c r="F45">
        <v>18</v>
      </c>
      <c r="G45">
        <v>8</v>
      </c>
      <c r="H45">
        <v>1</v>
      </c>
      <c r="I45">
        <v>54</v>
      </c>
      <c r="J45" s="5">
        <v>316</v>
      </c>
    </row>
    <row r="46" spans="1:10" hidden="1" x14ac:dyDescent="0.25">
      <c r="A46">
        <v>2019</v>
      </c>
      <c r="B46" t="s">
        <v>17</v>
      </c>
      <c r="C46">
        <v>306</v>
      </c>
      <c r="D46">
        <v>268</v>
      </c>
      <c r="E46">
        <v>38</v>
      </c>
      <c r="F46">
        <v>23</v>
      </c>
      <c r="G46">
        <v>8</v>
      </c>
      <c r="H46">
        <v>3</v>
      </c>
      <c r="I46">
        <v>55</v>
      </c>
      <c r="J46" s="5">
        <v>125</v>
      </c>
    </row>
    <row r="47" spans="1:10" hidden="1" x14ac:dyDescent="0.25">
      <c r="A47">
        <v>2019</v>
      </c>
      <c r="B47" t="s">
        <v>18</v>
      </c>
      <c r="C47">
        <v>242</v>
      </c>
      <c r="D47">
        <v>211</v>
      </c>
      <c r="E47">
        <v>31</v>
      </c>
      <c r="F47">
        <v>7</v>
      </c>
      <c r="G47">
        <v>8</v>
      </c>
      <c r="H47">
        <v>2</v>
      </c>
      <c r="I47">
        <v>39</v>
      </c>
      <c r="J47" s="5">
        <v>101</v>
      </c>
    </row>
    <row r="48" spans="1:10" hidden="1" x14ac:dyDescent="0.25">
      <c r="A48">
        <v>2019</v>
      </c>
      <c r="B48" t="s">
        <v>19</v>
      </c>
      <c r="C48">
        <v>129</v>
      </c>
      <c r="D48">
        <v>105</v>
      </c>
      <c r="E48">
        <v>24</v>
      </c>
      <c r="F48">
        <v>5</v>
      </c>
      <c r="G48">
        <v>2</v>
      </c>
      <c r="H48">
        <v>0</v>
      </c>
      <c r="I48">
        <v>20</v>
      </c>
      <c r="J48" s="5">
        <v>68</v>
      </c>
    </row>
    <row r="49" spans="1:10" hidden="1" x14ac:dyDescent="0.25">
      <c r="A49">
        <v>2019</v>
      </c>
      <c r="B49" t="s">
        <v>20</v>
      </c>
      <c r="C49">
        <v>438</v>
      </c>
      <c r="D49">
        <v>382</v>
      </c>
      <c r="E49">
        <v>56</v>
      </c>
      <c r="F49">
        <v>10</v>
      </c>
      <c r="G49">
        <v>7</v>
      </c>
      <c r="H49">
        <v>2</v>
      </c>
      <c r="I49">
        <v>66</v>
      </c>
      <c r="J49" s="5">
        <v>180</v>
      </c>
    </row>
    <row r="50" spans="1:10" hidden="1" x14ac:dyDescent="0.25">
      <c r="A50">
        <v>2019</v>
      </c>
      <c r="B50" t="s">
        <v>21</v>
      </c>
      <c r="C50">
        <v>235</v>
      </c>
      <c r="D50">
        <v>204</v>
      </c>
      <c r="E50">
        <v>31</v>
      </c>
      <c r="F50">
        <v>12</v>
      </c>
      <c r="G50">
        <v>6</v>
      </c>
      <c r="H50">
        <v>2</v>
      </c>
      <c r="I50">
        <v>49</v>
      </c>
      <c r="J50" s="5">
        <v>135</v>
      </c>
    </row>
    <row r="51" spans="1:10" hidden="1" x14ac:dyDescent="0.25">
      <c r="A51">
        <v>2019</v>
      </c>
      <c r="B51" t="s">
        <v>22</v>
      </c>
      <c r="C51">
        <v>266</v>
      </c>
      <c r="D51">
        <v>233</v>
      </c>
      <c r="E51">
        <v>33</v>
      </c>
      <c r="F51">
        <v>3</v>
      </c>
      <c r="G51">
        <v>1</v>
      </c>
      <c r="H51">
        <v>1</v>
      </c>
      <c r="I51">
        <v>58</v>
      </c>
      <c r="J51" s="5">
        <v>102</v>
      </c>
    </row>
    <row r="52" spans="1:10" hidden="1" x14ac:dyDescent="0.25">
      <c r="A52">
        <v>2019</v>
      </c>
      <c r="B52" t="s">
        <v>23</v>
      </c>
      <c r="C52">
        <v>349</v>
      </c>
      <c r="D52">
        <v>277</v>
      </c>
      <c r="E52">
        <v>72</v>
      </c>
      <c r="F52">
        <v>4</v>
      </c>
      <c r="G52">
        <v>6</v>
      </c>
      <c r="H52">
        <v>1</v>
      </c>
      <c r="I52">
        <v>40</v>
      </c>
      <c r="J52" s="5">
        <v>98</v>
      </c>
    </row>
    <row r="53" spans="1:10" hidden="1" x14ac:dyDescent="0.25">
      <c r="A53">
        <v>2019</v>
      </c>
      <c r="B53" t="s">
        <v>24</v>
      </c>
      <c r="C53">
        <v>401</v>
      </c>
      <c r="D53">
        <v>363</v>
      </c>
      <c r="E53">
        <v>37</v>
      </c>
      <c r="F53">
        <v>35</v>
      </c>
      <c r="G53">
        <v>6</v>
      </c>
      <c r="H53">
        <v>1</v>
      </c>
      <c r="I53">
        <v>58</v>
      </c>
      <c r="J53" s="5">
        <v>168</v>
      </c>
    </row>
    <row r="54" spans="1:10" hidden="1" x14ac:dyDescent="0.25">
      <c r="A54">
        <v>2019</v>
      </c>
      <c r="B54" t="s">
        <v>25</v>
      </c>
      <c r="C54">
        <v>453</v>
      </c>
      <c r="D54">
        <v>381</v>
      </c>
      <c r="E54">
        <v>71</v>
      </c>
      <c r="F54">
        <v>1</v>
      </c>
      <c r="G54">
        <v>8</v>
      </c>
      <c r="H54">
        <v>7</v>
      </c>
      <c r="I54">
        <v>61</v>
      </c>
      <c r="J54" s="5">
        <v>176</v>
      </c>
    </row>
    <row r="55" spans="1:10" hidden="1" x14ac:dyDescent="0.25">
      <c r="A55">
        <v>2019</v>
      </c>
      <c r="B55" t="s">
        <v>26</v>
      </c>
      <c r="C55">
        <v>5255</v>
      </c>
      <c r="D55">
        <v>4497</v>
      </c>
      <c r="E55">
        <v>756</v>
      </c>
      <c r="F55">
        <v>187</v>
      </c>
      <c r="G55">
        <v>93</v>
      </c>
      <c r="H55">
        <v>42</v>
      </c>
      <c r="I55">
        <v>827</v>
      </c>
      <c r="J55" s="8">
        <v>2489</v>
      </c>
    </row>
    <row r="56" spans="1:10" hidden="1" x14ac:dyDescent="0.25">
      <c r="A56">
        <v>2020</v>
      </c>
      <c r="B56" t="s">
        <v>9</v>
      </c>
      <c r="C56">
        <v>255</v>
      </c>
      <c r="D56">
        <v>217</v>
      </c>
      <c r="E56">
        <v>37</v>
      </c>
      <c r="F56">
        <v>8</v>
      </c>
      <c r="G56">
        <v>2</v>
      </c>
      <c r="H56">
        <v>0</v>
      </c>
      <c r="I56">
        <v>29</v>
      </c>
      <c r="J56" s="7">
        <v>72</v>
      </c>
    </row>
    <row r="57" spans="1:10" hidden="1" x14ac:dyDescent="0.25">
      <c r="A57">
        <v>2020</v>
      </c>
      <c r="B57" t="s">
        <v>10</v>
      </c>
      <c r="C57">
        <v>173</v>
      </c>
      <c r="D57">
        <v>150</v>
      </c>
      <c r="E57">
        <v>23</v>
      </c>
      <c r="F57">
        <v>10</v>
      </c>
      <c r="G57">
        <v>5</v>
      </c>
      <c r="H57">
        <v>1</v>
      </c>
      <c r="I57">
        <v>32</v>
      </c>
      <c r="J57" s="5">
        <v>84</v>
      </c>
    </row>
    <row r="58" spans="1:10" hidden="1" x14ac:dyDescent="0.25">
      <c r="A58">
        <v>2020</v>
      </c>
      <c r="B58" t="s">
        <v>11</v>
      </c>
      <c r="C58">
        <v>302</v>
      </c>
      <c r="D58">
        <v>262</v>
      </c>
      <c r="E58">
        <v>40</v>
      </c>
      <c r="F58">
        <v>9</v>
      </c>
      <c r="G58">
        <v>6</v>
      </c>
      <c r="H58">
        <v>2</v>
      </c>
      <c r="I58">
        <v>40</v>
      </c>
      <c r="J58" s="5">
        <v>151</v>
      </c>
    </row>
    <row r="59" spans="1:10" hidden="1" x14ac:dyDescent="0.25">
      <c r="A59">
        <v>2020</v>
      </c>
      <c r="B59" t="s">
        <v>12</v>
      </c>
      <c r="C59">
        <v>148</v>
      </c>
      <c r="D59">
        <v>128</v>
      </c>
      <c r="E59">
        <v>20</v>
      </c>
      <c r="F59">
        <v>0</v>
      </c>
      <c r="G59">
        <v>0</v>
      </c>
      <c r="H59">
        <v>0</v>
      </c>
      <c r="I59">
        <v>25</v>
      </c>
      <c r="J59" s="5">
        <v>52</v>
      </c>
    </row>
    <row r="60" spans="1:10" hidden="1" x14ac:dyDescent="0.25">
      <c r="A60">
        <v>2020</v>
      </c>
      <c r="B60" t="s">
        <v>13</v>
      </c>
      <c r="C60">
        <v>562</v>
      </c>
      <c r="D60">
        <v>463</v>
      </c>
      <c r="E60">
        <v>99</v>
      </c>
      <c r="F60">
        <v>5</v>
      </c>
      <c r="G60">
        <v>11</v>
      </c>
      <c r="H60">
        <v>6</v>
      </c>
      <c r="I60">
        <v>97</v>
      </c>
      <c r="J60" s="5">
        <v>365</v>
      </c>
    </row>
    <row r="61" spans="1:10" hidden="1" x14ac:dyDescent="0.25">
      <c r="A61">
        <v>2020</v>
      </c>
      <c r="B61" t="s">
        <v>14</v>
      </c>
      <c r="C61">
        <v>192</v>
      </c>
      <c r="D61">
        <v>166</v>
      </c>
      <c r="E61">
        <v>26</v>
      </c>
      <c r="F61">
        <v>10</v>
      </c>
      <c r="G61">
        <v>1</v>
      </c>
      <c r="H61">
        <v>0</v>
      </c>
      <c r="I61">
        <v>60</v>
      </c>
      <c r="J61" s="5">
        <v>136</v>
      </c>
    </row>
    <row r="62" spans="1:10" hidden="1" x14ac:dyDescent="0.25">
      <c r="A62">
        <v>2020</v>
      </c>
      <c r="B62" t="s">
        <v>15</v>
      </c>
      <c r="C62">
        <v>475</v>
      </c>
      <c r="D62">
        <v>393</v>
      </c>
      <c r="E62">
        <v>82</v>
      </c>
      <c r="F62">
        <v>21</v>
      </c>
      <c r="G62">
        <v>12</v>
      </c>
      <c r="H62">
        <v>3</v>
      </c>
      <c r="I62">
        <v>73</v>
      </c>
      <c r="J62" s="5">
        <v>241</v>
      </c>
    </row>
    <row r="63" spans="1:10" hidden="1" x14ac:dyDescent="0.25">
      <c r="A63">
        <v>2020</v>
      </c>
      <c r="B63" t="s">
        <v>16</v>
      </c>
      <c r="C63">
        <v>329</v>
      </c>
      <c r="D63">
        <v>278</v>
      </c>
      <c r="E63">
        <v>51</v>
      </c>
      <c r="F63">
        <v>15</v>
      </c>
      <c r="G63">
        <v>5</v>
      </c>
      <c r="H63">
        <v>1</v>
      </c>
      <c r="I63">
        <v>62</v>
      </c>
      <c r="J63" s="5">
        <v>300</v>
      </c>
    </row>
    <row r="64" spans="1:10" hidden="1" x14ac:dyDescent="0.25">
      <c r="A64">
        <v>2020</v>
      </c>
      <c r="B64" t="s">
        <v>17</v>
      </c>
      <c r="C64">
        <v>302</v>
      </c>
      <c r="D64">
        <v>261</v>
      </c>
      <c r="E64">
        <v>41</v>
      </c>
      <c r="F64">
        <v>22</v>
      </c>
      <c r="G64">
        <v>6</v>
      </c>
      <c r="H64">
        <v>4</v>
      </c>
      <c r="I64">
        <v>53</v>
      </c>
      <c r="J64" s="5">
        <v>138</v>
      </c>
    </row>
    <row r="65" spans="1:10" hidden="1" x14ac:dyDescent="0.25">
      <c r="A65">
        <v>2020</v>
      </c>
      <c r="B65" t="s">
        <v>18</v>
      </c>
      <c r="C65">
        <v>245</v>
      </c>
      <c r="D65">
        <v>212</v>
      </c>
      <c r="E65">
        <v>33</v>
      </c>
      <c r="F65">
        <v>7</v>
      </c>
      <c r="G65">
        <v>5</v>
      </c>
      <c r="H65">
        <v>0</v>
      </c>
      <c r="I65">
        <v>51</v>
      </c>
      <c r="J65" s="5">
        <v>96</v>
      </c>
    </row>
    <row r="66" spans="1:10" hidden="1" x14ac:dyDescent="0.25">
      <c r="A66">
        <v>2020</v>
      </c>
      <c r="B66" t="s">
        <v>19</v>
      </c>
      <c r="C66">
        <v>105</v>
      </c>
      <c r="D66">
        <v>90</v>
      </c>
      <c r="E66">
        <v>15</v>
      </c>
      <c r="F66">
        <v>3</v>
      </c>
      <c r="G66">
        <v>7</v>
      </c>
      <c r="H66">
        <v>0</v>
      </c>
      <c r="I66">
        <v>23</v>
      </c>
      <c r="J66" s="5">
        <v>52</v>
      </c>
    </row>
    <row r="67" spans="1:10" hidden="1" x14ac:dyDescent="0.25">
      <c r="A67">
        <v>2020</v>
      </c>
      <c r="B67" t="s">
        <v>20</v>
      </c>
      <c r="C67">
        <v>409</v>
      </c>
      <c r="D67">
        <v>353</v>
      </c>
      <c r="E67">
        <v>56</v>
      </c>
      <c r="F67">
        <v>20</v>
      </c>
      <c r="G67">
        <v>7</v>
      </c>
      <c r="H67">
        <v>2</v>
      </c>
      <c r="I67">
        <v>71</v>
      </c>
      <c r="J67" s="5">
        <v>179</v>
      </c>
    </row>
    <row r="68" spans="1:10" hidden="1" x14ac:dyDescent="0.25">
      <c r="A68">
        <v>2020</v>
      </c>
      <c r="B68" t="s">
        <v>21</v>
      </c>
      <c r="C68">
        <v>250</v>
      </c>
      <c r="D68">
        <v>220</v>
      </c>
      <c r="E68">
        <v>30</v>
      </c>
      <c r="F68">
        <v>14</v>
      </c>
      <c r="G68">
        <v>5</v>
      </c>
      <c r="H68">
        <v>2</v>
      </c>
      <c r="I68">
        <v>55</v>
      </c>
      <c r="J68" s="5">
        <v>126</v>
      </c>
    </row>
    <row r="69" spans="1:10" hidden="1" x14ac:dyDescent="0.25">
      <c r="A69">
        <v>2020</v>
      </c>
      <c r="B69" t="s">
        <v>22</v>
      </c>
      <c r="C69">
        <v>243</v>
      </c>
      <c r="D69">
        <v>204</v>
      </c>
      <c r="E69">
        <v>39</v>
      </c>
      <c r="F69">
        <v>5</v>
      </c>
      <c r="G69">
        <v>12</v>
      </c>
      <c r="H69">
        <v>4</v>
      </c>
      <c r="I69">
        <v>51</v>
      </c>
      <c r="J69" s="5">
        <v>124</v>
      </c>
    </row>
    <row r="70" spans="1:10" hidden="1" x14ac:dyDescent="0.25">
      <c r="A70">
        <v>2020</v>
      </c>
      <c r="B70" t="s">
        <v>23</v>
      </c>
      <c r="C70">
        <v>377</v>
      </c>
      <c r="D70">
        <v>302</v>
      </c>
      <c r="E70">
        <v>75</v>
      </c>
      <c r="F70">
        <v>3</v>
      </c>
      <c r="G70">
        <v>10</v>
      </c>
      <c r="H70">
        <v>2</v>
      </c>
      <c r="I70">
        <v>42</v>
      </c>
      <c r="J70" s="5">
        <v>106</v>
      </c>
    </row>
    <row r="71" spans="1:10" hidden="1" x14ac:dyDescent="0.25">
      <c r="A71">
        <v>2020</v>
      </c>
      <c r="B71" t="s">
        <v>24</v>
      </c>
      <c r="C71">
        <v>375</v>
      </c>
      <c r="D71">
        <v>324</v>
      </c>
      <c r="E71">
        <v>51</v>
      </c>
      <c r="F71">
        <v>32</v>
      </c>
      <c r="G71">
        <v>9</v>
      </c>
      <c r="H71">
        <v>1</v>
      </c>
      <c r="I71">
        <v>61</v>
      </c>
      <c r="J71" s="5">
        <v>170</v>
      </c>
    </row>
    <row r="72" spans="1:10" hidden="1" x14ac:dyDescent="0.25">
      <c r="A72">
        <v>2020</v>
      </c>
      <c r="B72" t="s">
        <v>25</v>
      </c>
      <c r="C72">
        <v>423</v>
      </c>
      <c r="D72">
        <v>363</v>
      </c>
      <c r="E72">
        <v>60</v>
      </c>
      <c r="F72">
        <v>2</v>
      </c>
      <c r="G72">
        <v>10</v>
      </c>
      <c r="H72">
        <v>3</v>
      </c>
      <c r="I72">
        <v>61</v>
      </c>
      <c r="J72" s="5">
        <v>139</v>
      </c>
    </row>
    <row r="73" spans="1:10" hidden="1" x14ac:dyDescent="0.25">
      <c r="A73">
        <v>2020</v>
      </c>
      <c r="B73" t="s">
        <v>26</v>
      </c>
      <c r="C73">
        <v>5165</v>
      </c>
      <c r="D73">
        <v>4386</v>
      </c>
      <c r="E73">
        <v>778</v>
      </c>
      <c r="F73">
        <v>186</v>
      </c>
      <c r="G73">
        <v>113</v>
      </c>
      <c r="H73">
        <v>31</v>
      </c>
      <c r="I73">
        <v>886</v>
      </c>
      <c r="J73" s="8">
        <v>2531</v>
      </c>
    </row>
    <row r="74" spans="1:10" hidden="1" x14ac:dyDescent="0.25">
      <c r="A74">
        <v>2021</v>
      </c>
      <c r="B74" t="s">
        <v>9</v>
      </c>
      <c r="C74">
        <v>278</v>
      </c>
      <c r="D74">
        <v>229</v>
      </c>
      <c r="E74">
        <v>49</v>
      </c>
      <c r="F74">
        <v>14</v>
      </c>
      <c r="G74">
        <v>6</v>
      </c>
      <c r="H74">
        <v>2</v>
      </c>
      <c r="I74">
        <v>37</v>
      </c>
      <c r="J74" s="7">
        <v>113</v>
      </c>
    </row>
    <row r="75" spans="1:10" hidden="1" x14ac:dyDescent="0.25">
      <c r="A75">
        <v>2021</v>
      </c>
      <c r="B75" t="s">
        <v>10</v>
      </c>
      <c r="C75">
        <v>147</v>
      </c>
      <c r="D75">
        <v>126</v>
      </c>
      <c r="E75">
        <v>21</v>
      </c>
      <c r="F75">
        <v>15</v>
      </c>
      <c r="G75">
        <v>3</v>
      </c>
      <c r="H75">
        <v>0</v>
      </c>
      <c r="I75">
        <v>17</v>
      </c>
      <c r="J75" s="5">
        <v>116</v>
      </c>
    </row>
    <row r="76" spans="1:10" hidden="1" x14ac:dyDescent="0.25">
      <c r="A76">
        <v>2021</v>
      </c>
      <c r="B76" t="s">
        <v>11</v>
      </c>
      <c r="C76">
        <v>320</v>
      </c>
      <c r="D76">
        <v>269</v>
      </c>
      <c r="E76">
        <v>51</v>
      </c>
      <c r="F76">
        <v>5</v>
      </c>
      <c r="G76">
        <v>14</v>
      </c>
      <c r="H76">
        <v>4</v>
      </c>
      <c r="I76">
        <v>38</v>
      </c>
      <c r="J76" s="5">
        <v>245</v>
      </c>
    </row>
    <row r="77" spans="1:10" hidden="1" x14ac:dyDescent="0.25">
      <c r="A77">
        <v>2021</v>
      </c>
      <c r="B77" t="s">
        <v>12</v>
      </c>
      <c r="C77">
        <v>177</v>
      </c>
      <c r="D77">
        <v>143</v>
      </c>
      <c r="E77">
        <v>34</v>
      </c>
      <c r="F77">
        <v>3</v>
      </c>
      <c r="G77">
        <v>2</v>
      </c>
      <c r="H77">
        <v>0</v>
      </c>
      <c r="I77">
        <v>24</v>
      </c>
      <c r="J77" s="5">
        <v>64</v>
      </c>
    </row>
    <row r="78" spans="1:10" hidden="1" x14ac:dyDescent="0.25">
      <c r="A78">
        <v>2021</v>
      </c>
      <c r="B78" t="s">
        <v>13</v>
      </c>
      <c r="C78">
        <v>582</v>
      </c>
      <c r="D78">
        <v>494</v>
      </c>
      <c r="E78">
        <v>88</v>
      </c>
      <c r="F78">
        <v>2</v>
      </c>
      <c r="G78">
        <v>20</v>
      </c>
      <c r="H78">
        <v>6</v>
      </c>
      <c r="I78">
        <v>92</v>
      </c>
      <c r="J78" s="5">
        <v>392</v>
      </c>
    </row>
    <row r="79" spans="1:10" hidden="1" x14ac:dyDescent="0.25">
      <c r="A79">
        <v>2021</v>
      </c>
      <c r="B79" t="s">
        <v>14</v>
      </c>
      <c r="C79">
        <v>188</v>
      </c>
      <c r="D79">
        <v>167</v>
      </c>
      <c r="E79">
        <v>21</v>
      </c>
      <c r="F79">
        <v>9</v>
      </c>
      <c r="G79">
        <v>4</v>
      </c>
      <c r="H79">
        <v>1</v>
      </c>
      <c r="I79">
        <v>48</v>
      </c>
      <c r="J79" s="5">
        <v>159</v>
      </c>
    </row>
    <row r="80" spans="1:10" hidden="1" x14ac:dyDescent="0.25">
      <c r="A80">
        <v>2021</v>
      </c>
      <c r="B80" t="s">
        <v>15</v>
      </c>
      <c r="C80">
        <v>422</v>
      </c>
      <c r="D80">
        <v>361</v>
      </c>
      <c r="E80">
        <v>61</v>
      </c>
      <c r="F80">
        <v>18</v>
      </c>
      <c r="G80">
        <v>9</v>
      </c>
      <c r="H80">
        <v>4</v>
      </c>
      <c r="I80">
        <v>54</v>
      </c>
      <c r="J80" s="5">
        <v>234</v>
      </c>
    </row>
    <row r="81" spans="1:10" hidden="1" x14ac:dyDescent="0.25">
      <c r="A81">
        <v>2021</v>
      </c>
      <c r="B81" t="s">
        <v>16</v>
      </c>
      <c r="C81">
        <v>325</v>
      </c>
      <c r="D81">
        <v>279</v>
      </c>
      <c r="E81">
        <v>46</v>
      </c>
      <c r="F81">
        <v>12</v>
      </c>
      <c r="G81">
        <v>5</v>
      </c>
      <c r="H81">
        <v>5</v>
      </c>
      <c r="I81">
        <v>48</v>
      </c>
      <c r="J81" s="5">
        <v>313</v>
      </c>
    </row>
    <row r="82" spans="1:10" hidden="1" x14ac:dyDescent="0.25">
      <c r="A82">
        <v>2021</v>
      </c>
      <c r="B82" t="s">
        <v>17</v>
      </c>
      <c r="C82">
        <v>321</v>
      </c>
      <c r="D82">
        <v>263</v>
      </c>
      <c r="E82">
        <v>57</v>
      </c>
      <c r="F82">
        <v>16</v>
      </c>
      <c r="G82">
        <v>7</v>
      </c>
      <c r="H82">
        <v>2</v>
      </c>
      <c r="I82">
        <v>62</v>
      </c>
      <c r="J82" s="5">
        <v>152</v>
      </c>
    </row>
    <row r="83" spans="1:10" hidden="1" x14ac:dyDescent="0.25">
      <c r="A83">
        <v>2021</v>
      </c>
      <c r="B83" t="s">
        <v>18</v>
      </c>
      <c r="C83">
        <v>218</v>
      </c>
      <c r="D83">
        <v>177</v>
      </c>
      <c r="E83">
        <v>41</v>
      </c>
      <c r="F83">
        <v>8</v>
      </c>
      <c r="G83">
        <v>3</v>
      </c>
      <c r="H83">
        <v>2</v>
      </c>
      <c r="I83">
        <v>25</v>
      </c>
      <c r="J83" s="5">
        <v>110</v>
      </c>
    </row>
    <row r="84" spans="1:10" hidden="1" x14ac:dyDescent="0.25">
      <c r="A84">
        <v>2021</v>
      </c>
      <c r="B84" t="s">
        <v>19</v>
      </c>
      <c r="C84">
        <v>120</v>
      </c>
      <c r="D84">
        <v>111</v>
      </c>
      <c r="E84">
        <v>9</v>
      </c>
      <c r="F84">
        <v>1</v>
      </c>
      <c r="G84">
        <v>3</v>
      </c>
      <c r="H84">
        <v>0</v>
      </c>
      <c r="I84">
        <v>29</v>
      </c>
      <c r="J84" s="5">
        <v>59</v>
      </c>
    </row>
    <row r="85" spans="1:10" hidden="1" x14ac:dyDescent="0.25">
      <c r="A85">
        <v>2021</v>
      </c>
      <c r="B85" t="s">
        <v>20</v>
      </c>
      <c r="C85">
        <v>413</v>
      </c>
      <c r="D85">
        <v>363</v>
      </c>
      <c r="E85">
        <v>50</v>
      </c>
      <c r="F85">
        <v>18</v>
      </c>
      <c r="G85">
        <v>13</v>
      </c>
      <c r="H85">
        <v>2</v>
      </c>
      <c r="I85">
        <v>72</v>
      </c>
      <c r="J85" s="5">
        <v>225</v>
      </c>
    </row>
    <row r="86" spans="1:10" hidden="1" x14ac:dyDescent="0.25">
      <c r="A86">
        <v>2021</v>
      </c>
      <c r="B86" t="s">
        <v>21</v>
      </c>
      <c r="C86">
        <v>269</v>
      </c>
      <c r="D86">
        <v>233</v>
      </c>
      <c r="E86">
        <v>36</v>
      </c>
      <c r="F86">
        <v>10</v>
      </c>
      <c r="G86">
        <v>10</v>
      </c>
      <c r="H86">
        <v>2</v>
      </c>
      <c r="I86">
        <v>53</v>
      </c>
      <c r="J86" s="5">
        <v>141</v>
      </c>
    </row>
    <row r="87" spans="1:10" hidden="1" x14ac:dyDescent="0.25">
      <c r="A87">
        <v>2021</v>
      </c>
      <c r="B87" t="s">
        <v>22</v>
      </c>
      <c r="C87">
        <v>245</v>
      </c>
      <c r="D87">
        <v>206</v>
      </c>
      <c r="E87">
        <v>39</v>
      </c>
      <c r="F87">
        <v>0</v>
      </c>
      <c r="G87">
        <v>3</v>
      </c>
      <c r="H87">
        <v>2</v>
      </c>
      <c r="I87">
        <v>47</v>
      </c>
      <c r="J87" s="5">
        <v>127</v>
      </c>
    </row>
    <row r="88" spans="1:10" hidden="1" x14ac:dyDescent="0.25">
      <c r="A88">
        <v>2021</v>
      </c>
      <c r="B88" t="s">
        <v>23</v>
      </c>
      <c r="C88">
        <v>407</v>
      </c>
      <c r="D88">
        <v>333</v>
      </c>
      <c r="E88">
        <v>74</v>
      </c>
      <c r="F88">
        <v>8</v>
      </c>
      <c r="G88">
        <v>11</v>
      </c>
      <c r="H88">
        <v>10</v>
      </c>
      <c r="I88">
        <v>35</v>
      </c>
      <c r="J88" s="5">
        <v>125</v>
      </c>
    </row>
    <row r="89" spans="1:10" hidden="1" x14ac:dyDescent="0.25">
      <c r="A89">
        <v>2021</v>
      </c>
      <c r="B89" t="s">
        <v>24</v>
      </c>
      <c r="C89">
        <v>359</v>
      </c>
      <c r="D89">
        <v>317</v>
      </c>
      <c r="E89">
        <v>42</v>
      </c>
      <c r="F89">
        <v>28</v>
      </c>
      <c r="G89">
        <v>6</v>
      </c>
      <c r="H89">
        <v>1</v>
      </c>
      <c r="I89">
        <v>51</v>
      </c>
      <c r="J89" s="5">
        <v>167</v>
      </c>
    </row>
    <row r="90" spans="1:10" hidden="1" x14ac:dyDescent="0.25">
      <c r="A90">
        <v>2021</v>
      </c>
      <c r="B90" t="s">
        <v>25</v>
      </c>
      <c r="C90">
        <v>410</v>
      </c>
      <c r="D90">
        <v>342</v>
      </c>
      <c r="E90">
        <v>68</v>
      </c>
      <c r="F90">
        <v>1</v>
      </c>
      <c r="G90">
        <v>7</v>
      </c>
      <c r="H90">
        <v>0</v>
      </c>
      <c r="I90">
        <v>61</v>
      </c>
      <c r="J90" s="5">
        <v>153</v>
      </c>
    </row>
    <row r="91" spans="1:10" hidden="1" x14ac:dyDescent="0.25">
      <c r="A91">
        <v>2021</v>
      </c>
      <c r="B91" t="s">
        <v>26</v>
      </c>
      <c r="C91">
        <v>5201</v>
      </c>
      <c r="D91">
        <v>4413</v>
      </c>
      <c r="E91">
        <v>787</v>
      </c>
      <c r="F91">
        <v>168</v>
      </c>
      <c r="G91">
        <v>126</v>
      </c>
      <c r="H91">
        <v>43</v>
      </c>
      <c r="I91">
        <v>793</v>
      </c>
      <c r="J91" s="8">
        <v>2895</v>
      </c>
    </row>
    <row r="92" spans="1:10" hidden="1" x14ac:dyDescent="0.25">
      <c r="A92">
        <v>2022</v>
      </c>
      <c r="B92" t="s">
        <v>9</v>
      </c>
      <c r="C92">
        <v>274</v>
      </c>
      <c r="D92">
        <v>224</v>
      </c>
      <c r="E92">
        <v>50</v>
      </c>
      <c r="F92">
        <v>10</v>
      </c>
      <c r="G92">
        <v>7</v>
      </c>
      <c r="H92">
        <v>1</v>
      </c>
      <c r="I92">
        <v>32</v>
      </c>
      <c r="J92" s="7">
        <v>92</v>
      </c>
    </row>
    <row r="93" spans="1:10" hidden="1" x14ac:dyDescent="0.25">
      <c r="A93">
        <v>2022</v>
      </c>
      <c r="B93" t="s">
        <v>10</v>
      </c>
      <c r="C93">
        <v>150</v>
      </c>
      <c r="D93">
        <v>124</v>
      </c>
      <c r="E93">
        <v>26</v>
      </c>
      <c r="F93">
        <v>22</v>
      </c>
      <c r="G93">
        <v>3</v>
      </c>
      <c r="H93">
        <v>2</v>
      </c>
      <c r="I93">
        <v>18</v>
      </c>
      <c r="J93" s="5">
        <v>102</v>
      </c>
    </row>
    <row r="94" spans="1:10" hidden="1" x14ac:dyDescent="0.25">
      <c r="A94">
        <v>2022</v>
      </c>
      <c r="B94" t="s">
        <v>11</v>
      </c>
      <c r="C94">
        <v>332</v>
      </c>
      <c r="D94">
        <v>276</v>
      </c>
      <c r="E94">
        <v>56</v>
      </c>
      <c r="F94">
        <v>1</v>
      </c>
      <c r="G94">
        <v>13</v>
      </c>
      <c r="H94">
        <v>2</v>
      </c>
      <c r="I94">
        <v>41</v>
      </c>
      <c r="J94" s="5">
        <v>258</v>
      </c>
    </row>
    <row r="95" spans="1:10" hidden="1" x14ac:dyDescent="0.25">
      <c r="A95">
        <v>2022</v>
      </c>
      <c r="B95" t="s">
        <v>12</v>
      </c>
      <c r="C95">
        <v>139</v>
      </c>
      <c r="D95">
        <v>117</v>
      </c>
      <c r="E95">
        <v>22</v>
      </c>
      <c r="F95">
        <v>2</v>
      </c>
      <c r="G95">
        <v>7</v>
      </c>
      <c r="H95">
        <v>0</v>
      </c>
      <c r="I95">
        <v>15</v>
      </c>
      <c r="J95" s="5">
        <v>65</v>
      </c>
    </row>
    <row r="96" spans="1:10" hidden="1" x14ac:dyDescent="0.25">
      <c r="A96">
        <v>2022</v>
      </c>
      <c r="B96" t="s">
        <v>13</v>
      </c>
      <c r="C96">
        <v>552</v>
      </c>
      <c r="D96">
        <v>449</v>
      </c>
      <c r="E96">
        <v>103</v>
      </c>
      <c r="F96">
        <v>1</v>
      </c>
      <c r="G96">
        <v>18</v>
      </c>
      <c r="H96">
        <v>3</v>
      </c>
      <c r="I96">
        <v>85</v>
      </c>
      <c r="J96" s="5">
        <v>373</v>
      </c>
    </row>
    <row r="97" spans="1:10" hidden="1" x14ac:dyDescent="0.25">
      <c r="A97">
        <v>2022</v>
      </c>
      <c r="B97" t="s">
        <v>14</v>
      </c>
      <c r="C97">
        <v>150</v>
      </c>
      <c r="D97">
        <v>125</v>
      </c>
      <c r="E97">
        <v>25</v>
      </c>
      <c r="F97">
        <v>10</v>
      </c>
      <c r="G97">
        <v>9</v>
      </c>
      <c r="H97">
        <v>2</v>
      </c>
      <c r="I97">
        <v>26</v>
      </c>
      <c r="J97" s="5">
        <v>141</v>
      </c>
    </row>
    <row r="98" spans="1:10" hidden="1" x14ac:dyDescent="0.25">
      <c r="A98">
        <v>2022</v>
      </c>
      <c r="B98" t="s">
        <v>15</v>
      </c>
      <c r="C98">
        <v>410</v>
      </c>
      <c r="D98">
        <v>349</v>
      </c>
      <c r="E98">
        <v>61</v>
      </c>
      <c r="F98">
        <v>12</v>
      </c>
      <c r="G98">
        <v>12</v>
      </c>
      <c r="H98">
        <v>7</v>
      </c>
      <c r="I98">
        <v>45</v>
      </c>
      <c r="J98" s="5">
        <v>224</v>
      </c>
    </row>
    <row r="99" spans="1:10" hidden="1" x14ac:dyDescent="0.25">
      <c r="A99">
        <v>2022</v>
      </c>
      <c r="B99" t="s">
        <v>16</v>
      </c>
      <c r="C99">
        <v>339</v>
      </c>
      <c r="D99">
        <v>290</v>
      </c>
      <c r="E99">
        <v>49</v>
      </c>
      <c r="F99">
        <v>15</v>
      </c>
      <c r="G99">
        <v>13</v>
      </c>
      <c r="H99">
        <v>1</v>
      </c>
      <c r="I99">
        <v>45</v>
      </c>
      <c r="J99" s="5">
        <v>335</v>
      </c>
    </row>
    <row r="100" spans="1:10" hidden="1" x14ac:dyDescent="0.25">
      <c r="A100">
        <v>2022</v>
      </c>
      <c r="B100" t="s">
        <v>17</v>
      </c>
      <c r="C100">
        <v>317</v>
      </c>
      <c r="D100">
        <v>273</v>
      </c>
      <c r="E100">
        <v>44</v>
      </c>
      <c r="F100">
        <v>29</v>
      </c>
      <c r="G100">
        <v>11</v>
      </c>
      <c r="H100">
        <v>2</v>
      </c>
      <c r="I100">
        <v>61</v>
      </c>
      <c r="J100" s="5">
        <v>159</v>
      </c>
    </row>
    <row r="101" spans="1:10" hidden="1" x14ac:dyDescent="0.25">
      <c r="A101">
        <v>2022</v>
      </c>
      <c r="B101" t="s">
        <v>18</v>
      </c>
      <c r="C101">
        <v>247</v>
      </c>
      <c r="D101">
        <v>213</v>
      </c>
      <c r="E101">
        <v>34</v>
      </c>
      <c r="F101">
        <v>6</v>
      </c>
      <c r="G101">
        <v>10</v>
      </c>
      <c r="H101">
        <v>1</v>
      </c>
      <c r="I101">
        <v>27</v>
      </c>
      <c r="J101" s="5">
        <v>125</v>
      </c>
    </row>
    <row r="102" spans="1:10" hidden="1" x14ac:dyDescent="0.25">
      <c r="A102">
        <v>2022</v>
      </c>
      <c r="B102" t="s">
        <v>19</v>
      </c>
      <c r="C102">
        <v>136</v>
      </c>
      <c r="D102">
        <v>111</v>
      </c>
      <c r="E102">
        <v>25</v>
      </c>
      <c r="F102">
        <v>1</v>
      </c>
      <c r="G102">
        <v>1</v>
      </c>
      <c r="H102">
        <v>1</v>
      </c>
      <c r="I102">
        <v>27</v>
      </c>
      <c r="J102" s="5">
        <v>51</v>
      </c>
    </row>
    <row r="103" spans="1:10" hidden="1" x14ac:dyDescent="0.25">
      <c r="A103">
        <v>2022</v>
      </c>
      <c r="B103" t="s">
        <v>20</v>
      </c>
      <c r="C103">
        <v>405</v>
      </c>
      <c r="D103">
        <v>340</v>
      </c>
      <c r="E103">
        <v>65</v>
      </c>
      <c r="F103">
        <v>15</v>
      </c>
      <c r="G103">
        <v>9</v>
      </c>
      <c r="H103">
        <v>3</v>
      </c>
      <c r="I103">
        <v>80</v>
      </c>
      <c r="J103" s="5">
        <v>229</v>
      </c>
    </row>
    <row r="104" spans="1:10" hidden="1" x14ac:dyDescent="0.25">
      <c r="A104">
        <v>2022</v>
      </c>
      <c r="B104" t="s">
        <v>21</v>
      </c>
      <c r="C104">
        <v>267</v>
      </c>
      <c r="D104">
        <v>234</v>
      </c>
      <c r="E104">
        <v>33</v>
      </c>
      <c r="F104">
        <v>7</v>
      </c>
      <c r="G104">
        <v>6</v>
      </c>
      <c r="H104">
        <v>1</v>
      </c>
      <c r="I104">
        <v>64</v>
      </c>
      <c r="J104" s="5">
        <v>149</v>
      </c>
    </row>
    <row r="105" spans="1:10" hidden="1" x14ac:dyDescent="0.25">
      <c r="A105">
        <v>2022</v>
      </c>
      <c r="B105" t="s">
        <v>22</v>
      </c>
      <c r="C105">
        <v>238</v>
      </c>
      <c r="D105">
        <v>196</v>
      </c>
      <c r="E105">
        <v>42</v>
      </c>
      <c r="F105">
        <v>2</v>
      </c>
      <c r="G105">
        <v>4</v>
      </c>
      <c r="H105">
        <v>1</v>
      </c>
      <c r="I105">
        <v>42</v>
      </c>
      <c r="J105" s="5">
        <v>131</v>
      </c>
    </row>
    <row r="106" spans="1:10" hidden="1" x14ac:dyDescent="0.25">
      <c r="A106">
        <v>2022</v>
      </c>
      <c r="B106" t="s">
        <v>23</v>
      </c>
      <c r="C106">
        <v>344</v>
      </c>
      <c r="D106">
        <v>264</v>
      </c>
      <c r="E106">
        <v>80</v>
      </c>
      <c r="F106">
        <v>2</v>
      </c>
      <c r="G106">
        <v>17</v>
      </c>
      <c r="H106">
        <v>2</v>
      </c>
      <c r="I106">
        <v>34</v>
      </c>
      <c r="J106" s="5">
        <v>126</v>
      </c>
    </row>
    <row r="107" spans="1:10" hidden="1" x14ac:dyDescent="0.25">
      <c r="A107">
        <v>2022</v>
      </c>
      <c r="B107" t="s">
        <v>24</v>
      </c>
      <c r="C107">
        <v>397</v>
      </c>
      <c r="D107">
        <v>344</v>
      </c>
      <c r="E107">
        <v>53</v>
      </c>
      <c r="F107">
        <v>23</v>
      </c>
      <c r="G107">
        <v>7</v>
      </c>
      <c r="H107">
        <v>3</v>
      </c>
      <c r="I107">
        <v>55</v>
      </c>
      <c r="J107" s="5">
        <v>160</v>
      </c>
    </row>
    <row r="108" spans="1:10" hidden="1" x14ac:dyDescent="0.25">
      <c r="A108">
        <v>2022</v>
      </c>
      <c r="B108" t="s">
        <v>25</v>
      </c>
      <c r="C108">
        <v>411</v>
      </c>
      <c r="D108">
        <v>332</v>
      </c>
      <c r="E108">
        <v>79</v>
      </c>
      <c r="F108">
        <v>1</v>
      </c>
      <c r="G108">
        <v>3</v>
      </c>
      <c r="H108">
        <v>3</v>
      </c>
      <c r="I108">
        <v>49</v>
      </c>
      <c r="J108" s="5">
        <v>154</v>
      </c>
    </row>
    <row r="109" spans="1:10" hidden="1" x14ac:dyDescent="0.25">
      <c r="A109">
        <v>2022</v>
      </c>
      <c r="B109" t="s">
        <v>26</v>
      </c>
      <c r="C109">
        <v>5108</v>
      </c>
      <c r="D109">
        <v>4261</v>
      </c>
      <c r="E109">
        <v>847</v>
      </c>
      <c r="F109">
        <v>159</v>
      </c>
      <c r="G109">
        <v>150</v>
      </c>
      <c r="H109">
        <v>35</v>
      </c>
      <c r="I109">
        <v>746</v>
      </c>
      <c r="J109" s="8">
        <v>2874</v>
      </c>
    </row>
    <row r="110" spans="1:10" hidden="1" x14ac:dyDescent="0.25">
      <c r="A110">
        <v>2023</v>
      </c>
      <c r="B110" t="s">
        <v>9</v>
      </c>
      <c r="C110">
        <v>271</v>
      </c>
      <c r="D110">
        <v>233</v>
      </c>
      <c r="E110">
        <v>38</v>
      </c>
      <c r="F110">
        <v>9</v>
      </c>
      <c r="G110">
        <v>10</v>
      </c>
      <c r="H110">
        <v>0</v>
      </c>
      <c r="I110">
        <v>44</v>
      </c>
      <c r="J110" s="7">
        <v>109</v>
      </c>
    </row>
    <row r="111" spans="1:10" hidden="1" x14ac:dyDescent="0.25">
      <c r="A111">
        <v>2023</v>
      </c>
      <c r="B111" t="s">
        <v>10</v>
      </c>
      <c r="C111">
        <v>188</v>
      </c>
      <c r="D111">
        <v>167</v>
      </c>
      <c r="E111">
        <v>21</v>
      </c>
      <c r="F111">
        <v>21</v>
      </c>
      <c r="G111">
        <v>3</v>
      </c>
      <c r="H111">
        <v>1</v>
      </c>
      <c r="I111">
        <v>32</v>
      </c>
      <c r="J111" s="5">
        <v>116</v>
      </c>
    </row>
    <row r="112" spans="1:10" hidden="1" x14ac:dyDescent="0.25">
      <c r="A112">
        <v>2023</v>
      </c>
      <c r="B112" t="s">
        <v>11</v>
      </c>
      <c r="C112">
        <v>334</v>
      </c>
      <c r="D112">
        <v>266</v>
      </c>
      <c r="E112">
        <v>68</v>
      </c>
      <c r="F112">
        <v>2</v>
      </c>
      <c r="G112">
        <v>7</v>
      </c>
      <c r="H112">
        <v>2</v>
      </c>
      <c r="I112">
        <v>49</v>
      </c>
      <c r="J112" s="5">
        <v>260</v>
      </c>
    </row>
    <row r="113" spans="1:10" hidden="1" x14ac:dyDescent="0.25">
      <c r="A113">
        <v>2023</v>
      </c>
      <c r="B113" t="s">
        <v>12</v>
      </c>
      <c r="C113">
        <v>137</v>
      </c>
      <c r="D113">
        <v>117</v>
      </c>
      <c r="E113">
        <v>20</v>
      </c>
      <c r="F113">
        <v>1</v>
      </c>
      <c r="G113">
        <v>2</v>
      </c>
      <c r="H113">
        <v>0</v>
      </c>
      <c r="I113">
        <v>21</v>
      </c>
      <c r="J113" s="5">
        <v>54</v>
      </c>
    </row>
    <row r="114" spans="1:10" hidden="1" x14ac:dyDescent="0.25">
      <c r="A114">
        <v>2023</v>
      </c>
      <c r="B114" t="s">
        <v>13</v>
      </c>
      <c r="C114">
        <v>577</v>
      </c>
      <c r="D114">
        <v>484</v>
      </c>
      <c r="E114">
        <v>93</v>
      </c>
      <c r="F114">
        <v>2</v>
      </c>
      <c r="G114">
        <v>12</v>
      </c>
      <c r="H114">
        <v>6</v>
      </c>
      <c r="I114">
        <v>83</v>
      </c>
      <c r="J114" s="5">
        <v>425</v>
      </c>
    </row>
    <row r="115" spans="1:10" hidden="1" x14ac:dyDescent="0.25">
      <c r="A115">
        <v>2023</v>
      </c>
      <c r="B115" t="s">
        <v>14</v>
      </c>
      <c r="C115">
        <v>192</v>
      </c>
      <c r="D115">
        <v>165</v>
      </c>
      <c r="E115">
        <v>27</v>
      </c>
      <c r="F115">
        <v>10</v>
      </c>
      <c r="G115">
        <v>4</v>
      </c>
      <c r="H115">
        <v>1</v>
      </c>
      <c r="I115">
        <v>49</v>
      </c>
      <c r="J115" s="5">
        <v>152</v>
      </c>
    </row>
    <row r="116" spans="1:10" hidden="1" x14ac:dyDescent="0.25">
      <c r="A116">
        <v>2023</v>
      </c>
      <c r="B116" t="s">
        <v>15</v>
      </c>
      <c r="C116">
        <v>404</v>
      </c>
      <c r="D116">
        <v>336</v>
      </c>
      <c r="E116">
        <v>68</v>
      </c>
      <c r="F116">
        <v>11</v>
      </c>
      <c r="G116">
        <v>14</v>
      </c>
      <c r="H116">
        <v>5</v>
      </c>
      <c r="I116">
        <v>62</v>
      </c>
      <c r="J116" s="5">
        <v>234</v>
      </c>
    </row>
    <row r="117" spans="1:10" hidden="1" x14ac:dyDescent="0.25">
      <c r="A117">
        <v>2023</v>
      </c>
      <c r="B117" t="s">
        <v>16</v>
      </c>
      <c r="C117">
        <v>326</v>
      </c>
      <c r="D117">
        <v>278</v>
      </c>
      <c r="E117">
        <v>48</v>
      </c>
      <c r="F117">
        <v>7</v>
      </c>
      <c r="G117">
        <v>8</v>
      </c>
      <c r="H117">
        <v>2</v>
      </c>
      <c r="I117">
        <v>56</v>
      </c>
      <c r="J117" s="5">
        <v>322</v>
      </c>
    </row>
    <row r="118" spans="1:10" hidden="1" x14ac:dyDescent="0.25">
      <c r="A118">
        <v>2023</v>
      </c>
      <c r="B118" t="s">
        <v>17</v>
      </c>
      <c r="C118">
        <v>274</v>
      </c>
      <c r="D118">
        <v>227</v>
      </c>
      <c r="E118">
        <v>47</v>
      </c>
      <c r="F118">
        <v>15</v>
      </c>
      <c r="G118">
        <v>9</v>
      </c>
      <c r="H118">
        <v>3</v>
      </c>
      <c r="I118">
        <v>39</v>
      </c>
      <c r="J118" s="5">
        <v>164</v>
      </c>
    </row>
    <row r="119" spans="1:10" hidden="1" x14ac:dyDescent="0.25">
      <c r="A119">
        <v>2023</v>
      </c>
      <c r="B119" t="s">
        <v>18</v>
      </c>
      <c r="C119">
        <v>221</v>
      </c>
      <c r="D119">
        <v>192</v>
      </c>
      <c r="E119">
        <v>29</v>
      </c>
      <c r="F119">
        <v>9</v>
      </c>
      <c r="G119">
        <v>7</v>
      </c>
      <c r="H119">
        <v>1</v>
      </c>
      <c r="I119">
        <v>45</v>
      </c>
      <c r="J119" s="5">
        <v>102</v>
      </c>
    </row>
    <row r="120" spans="1:10" hidden="1" x14ac:dyDescent="0.25">
      <c r="A120">
        <v>2023</v>
      </c>
      <c r="B120" t="s">
        <v>19</v>
      </c>
      <c r="C120">
        <v>114</v>
      </c>
      <c r="D120">
        <v>102</v>
      </c>
      <c r="E120">
        <v>12</v>
      </c>
      <c r="F120">
        <v>3</v>
      </c>
      <c r="G120">
        <v>2</v>
      </c>
      <c r="H120">
        <v>1</v>
      </c>
      <c r="I120">
        <v>22</v>
      </c>
      <c r="J120" s="5">
        <v>78</v>
      </c>
    </row>
    <row r="121" spans="1:10" hidden="1" x14ac:dyDescent="0.25">
      <c r="A121">
        <v>2023</v>
      </c>
      <c r="B121" t="s">
        <v>20</v>
      </c>
      <c r="C121">
        <v>468</v>
      </c>
      <c r="D121">
        <v>393</v>
      </c>
      <c r="E121">
        <v>75</v>
      </c>
      <c r="F121">
        <v>27</v>
      </c>
      <c r="G121">
        <v>17</v>
      </c>
      <c r="H121">
        <v>2</v>
      </c>
      <c r="I121">
        <v>80</v>
      </c>
      <c r="J121" s="5">
        <v>269</v>
      </c>
    </row>
    <row r="122" spans="1:10" hidden="1" x14ac:dyDescent="0.25">
      <c r="A122">
        <v>2023</v>
      </c>
      <c r="B122" t="s">
        <v>21</v>
      </c>
      <c r="C122">
        <v>268</v>
      </c>
      <c r="D122">
        <v>236</v>
      </c>
      <c r="E122">
        <v>32</v>
      </c>
      <c r="F122">
        <v>8</v>
      </c>
      <c r="G122">
        <v>5</v>
      </c>
      <c r="H122">
        <v>2</v>
      </c>
      <c r="I122">
        <v>56</v>
      </c>
      <c r="J122" s="5">
        <v>146</v>
      </c>
    </row>
    <row r="123" spans="1:10" hidden="1" x14ac:dyDescent="0.25">
      <c r="A123">
        <v>2023</v>
      </c>
      <c r="B123" t="s">
        <v>22</v>
      </c>
      <c r="C123">
        <v>255</v>
      </c>
      <c r="D123">
        <v>208</v>
      </c>
      <c r="E123">
        <v>47</v>
      </c>
      <c r="F123">
        <v>5</v>
      </c>
      <c r="G123">
        <v>10</v>
      </c>
      <c r="H123">
        <v>0</v>
      </c>
      <c r="I123">
        <v>34</v>
      </c>
      <c r="J123" s="5">
        <v>144</v>
      </c>
    </row>
    <row r="124" spans="1:10" hidden="1" x14ac:dyDescent="0.25">
      <c r="A124">
        <v>2023</v>
      </c>
      <c r="B124" t="s">
        <v>23</v>
      </c>
      <c r="C124">
        <v>401</v>
      </c>
      <c r="D124">
        <v>309</v>
      </c>
      <c r="E124">
        <v>92</v>
      </c>
      <c r="F124">
        <v>3</v>
      </c>
      <c r="G124">
        <v>11</v>
      </c>
      <c r="H124">
        <v>7</v>
      </c>
      <c r="I124">
        <v>42</v>
      </c>
      <c r="J124" s="5">
        <v>156</v>
      </c>
    </row>
    <row r="125" spans="1:10" hidden="1" x14ac:dyDescent="0.25">
      <c r="A125">
        <v>2023</v>
      </c>
      <c r="B125" t="s">
        <v>24</v>
      </c>
      <c r="C125">
        <v>372</v>
      </c>
      <c r="D125">
        <v>329</v>
      </c>
      <c r="E125">
        <v>43</v>
      </c>
      <c r="F125">
        <v>31</v>
      </c>
      <c r="G125">
        <v>10</v>
      </c>
      <c r="H125">
        <v>0</v>
      </c>
      <c r="I125">
        <v>61</v>
      </c>
      <c r="J125" s="5">
        <v>173</v>
      </c>
    </row>
    <row r="126" spans="1:10" hidden="1" x14ac:dyDescent="0.25">
      <c r="A126">
        <v>2023</v>
      </c>
      <c r="B126" t="s">
        <v>25</v>
      </c>
      <c r="C126">
        <v>431</v>
      </c>
      <c r="D126">
        <v>362</v>
      </c>
      <c r="E126">
        <v>69</v>
      </c>
      <c r="F126">
        <v>1</v>
      </c>
      <c r="G126">
        <v>9</v>
      </c>
      <c r="H126">
        <v>3</v>
      </c>
      <c r="I126">
        <v>55</v>
      </c>
      <c r="J126" s="5">
        <v>155</v>
      </c>
    </row>
    <row r="127" spans="1:10" hidden="1" x14ac:dyDescent="0.25">
      <c r="A127">
        <v>2023</v>
      </c>
      <c r="B127" t="s">
        <v>26</v>
      </c>
      <c r="C127">
        <v>5233</v>
      </c>
      <c r="D127">
        <v>4404</v>
      </c>
      <c r="E127">
        <v>829</v>
      </c>
      <c r="F127">
        <v>165</v>
      </c>
      <c r="G127">
        <v>140</v>
      </c>
      <c r="H127">
        <v>36</v>
      </c>
      <c r="I127">
        <v>830</v>
      </c>
      <c r="J127" s="8">
        <v>3059</v>
      </c>
    </row>
    <row r="128" spans="1:10" x14ac:dyDescent="0.25">
      <c r="A128">
        <v>2024</v>
      </c>
      <c r="B128" t="s">
        <v>9</v>
      </c>
      <c r="C128">
        <v>261</v>
      </c>
      <c r="D128">
        <v>220</v>
      </c>
      <c r="E128">
        <v>41</v>
      </c>
      <c r="F128">
        <v>3</v>
      </c>
      <c r="G128">
        <v>10</v>
      </c>
      <c r="H128">
        <v>2</v>
      </c>
      <c r="I128">
        <v>28</v>
      </c>
      <c r="J128" s="7">
        <v>103</v>
      </c>
    </row>
    <row r="129" spans="1:10" x14ac:dyDescent="0.25">
      <c r="A129">
        <v>2024</v>
      </c>
      <c r="B129" t="s">
        <v>10</v>
      </c>
      <c r="C129">
        <v>137</v>
      </c>
      <c r="D129">
        <v>118</v>
      </c>
      <c r="E129">
        <v>19</v>
      </c>
      <c r="F129">
        <v>12</v>
      </c>
      <c r="G129">
        <v>8</v>
      </c>
      <c r="H129">
        <v>2</v>
      </c>
      <c r="I129">
        <v>17</v>
      </c>
      <c r="J129" s="5">
        <v>118</v>
      </c>
    </row>
    <row r="130" spans="1:10" x14ac:dyDescent="0.25">
      <c r="A130">
        <v>2024</v>
      </c>
      <c r="B130" t="s">
        <v>11</v>
      </c>
      <c r="C130">
        <v>305</v>
      </c>
      <c r="D130">
        <v>252</v>
      </c>
      <c r="E130">
        <v>53</v>
      </c>
      <c r="F130">
        <v>10</v>
      </c>
      <c r="G130">
        <v>10</v>
      </c>
      <c r="H130">
        <v>3</v>
      </c>
      <c r="I130">
        <v>42</v>
      </c>
      <c r="J130" s="5">
        <v>231</v>
      </c>
    </row>
    <row r="131" spans="1:10" x14ac:dyDescent="0.25">
      <c r="A131">
        <v>2024</v>
      </c>
      <c r="B131" t="s">
        <v>12</v>
      </c>
      <c r="C131">
        <v>130</v>
      </c>
      <c r="D131">
        <v>112</v>
      </c>
      <c r="E131">
        <v>18</v>
      </c>
      <c r="F131">
        <v>0</v>
      </c>
      <c r="G131">
        <v>2</v>
      </c>
      <c r="H131">
        <v>0</v>
      </c>
      <c r="I131">
        <v>14</v>
      </c>
      <c r="J131" s="5">
        <v>50</v>
      </c>
    </row>
    <row r="132" spans="1:10" x14ac:dyDescent="0.25">
      <c r="A132">
        <v>2024</v>
      </c>
      <c r="B132" t="s">
        <v>13</v>
      </c>
      <c r="C132">
        <v>493</v>
      </c>
      <c r="D132">
        <v>410</v>
      </c>
      <c r="E132">
        <v>83</v>
      </c>
      <c r="F132">
        <v>2</v>
      </c>
      <c r="G132">
        <v>8</v>
      </c>
      <c r="H132">
        <v>5</v>
      </c>
      <c r="I132">
        <v>85</v>
      </c>
      <c r="J132" s="5">
        <v>377</v>
      </c>
    </row>
    <row r="133" spans="1:10" x14ac:dyDescent="0.25">
      <c r="A133">
        <v>2024</v>
      </c>
      <c r="B133" t="s">
        <v>14</v>
      </c>
      <c r="C133">
        <v>162</v>
      </c>
      <c r="D133">
        <v>143</v>
      </c>
      <c r="E133">
        <v>19</v>
      </c>
      <c r="F133">
        <v>12</v>
      </c>
      <c r="G133">
        <v>2</v>
      </c>
      <c r="H133">
        <v>0</v>
      </c>
      <c r="I133">
        <v>40</v>
      </c>
      <c r="J133" s="5">
        <v>137</v>
      </c>
    </row>
    <row r="134" spans="1:10" x14ac:dyDescent="0.25">
      <c r="A134">
        <v>2024</v>
      </c>
      <c r="B134" t="s">
        <v>15</v>
      </c>
      <c r="C134">
        <v>392</v>
      </c>
      <c r="D134">
        <v>333</v>
      </c>
      <c r="E134">
        <v>59</v>
      </c>
      <c r="F134">
        <v>15</v>
      </c>
      <c r="G134">
        <v>12</v>
      </c>
      <c r="H134">
        <v>5</v>
      </c>
      <c r="I134">
        <v>51</v>
      </c>
      <c r="J134" s="5">
        <v>259</v>
      </c>
    </row>
    <row r="135" spans="1:10" x14ac:dyDescent="0.25">
      <c r="A135">
        <v>2024</v>
      </c>
      <c r="B135" t="s">
        <v>16</v>
      </c>
      <c r="C135">
        <v>321</v>
      </c>
      <c r="D135">
        <v>263</v>
      </c>
      <c r="E135">
        <v>58</v>
      </c>
      <c r="F135">
        <v>7</v>
      </c>
      <c r="G135">
        <v>12</v>
      </c>
      <c r="H135">
        <v>0</v>
      </c>
      <c r="I135">
        <v>50</v>
      </c>
      <c r="J135" s="5">
        <v>361</v>
      </c>
    </row>
    <row r="136" spans="1:10" x14ac:dyDescent="0.25">
      <c r="A136">
        <v>2024</v>
      </c>
      <c r="B136" t="s">
        <v>17</v>
      </c>
      <c r="C136">
        <v>291</v>
      </c>
      <c r="D136">
        <v>246</v>
      </c>
      <c r="E136">
        <v>45</v>
      </c>
      <c r="F136">
        <v>13</v>
      </c>
      <c r="G136">
        <v>3</v>
      </c>
      <c r="H136">
        <v>2</v>
      </c>
      <c r="I136">
        <v>51</v>
      </c>
      <c r="J136" s="5">
        <v>162</v>
      </c>
    </row>
    <row r="137" spans="1:10" x14ac:dyDescent="0.25">
      <c r="A137">
        <v>2024</v>
      </c>
      <c r="B137" t="s">
        <v>18</v>
      </c>
      <c r="C137">
        <v>207</v>
      </c>
      <c r="D137">
        <v>167</v>
      </c>
      <c r="E137">
        <v>40</v>
      </c>
      <c r="F137">
        <v>3</v>
      </c>
      <c r="G137">
        <v>5</v>
      </c>
      <c r="H137">
        <v>0</v>
      </c>
      <c r="I137">
        <v>27</v>
      </c>
      <c r="J137" s="5">
        <v>138</v>
      </c>
    </row>
    <row r="138" spans="1:10" x14ac:dyDescent="0.25">
      <c r="A138">
        <v>2024</v>
      </c>
      <c r="B138" t="s">
        <v>19</v>
      </c>
      <c r="C138">
        <v>121</v>
      </c>
      <c r="D138">
        <v>102</v>
      </c>
      <c r="E138">
        <v>19</v>
      </c>
      <c r="F138">
        <v>1</v>
      </c>
      <c r="G138">
        <v>2</v>
      </c>
      <c r="H138">
        <v>2</v>
      </c>
      <c r="I138">
        <v>22</v>
      </c>
      <c r="J138" s="5">
        <v>125</v>
      </c>
    </row>
    <row r="139" spans="1:10" x14ac:dyDescent="0.25">
      <c r="A139">
        <v>2024</v>
      </c>
      <c r="B139" t="s">
        <v>20</v>
      </c>
      <c r="C139">
        <v>431</v>
      </c>
      <c r="D139">
        <v>358</v>
      </c>
      <c r="E139">
        <v>73</v>
      </c>
      <c r="F139">
        <v>19</v>
      </c>
      <c r="G139">
        <v>13</v>
      </c>
      <c r="H139">
        <v>3</v>
      </c>
      <c r="I139">
        <v>55</v>
      </c>
      <c r="J139" s="5">
        <v>258</v>
      </c>
    </row>
    <row r="140" spans="1:10" x14ac:dyDescent="0.25">
      <c r="A140">
        <v>2024</v>
      </c>
      <c r="B140" t="s">
        <v>21</v>
      </c>
      <c r="C140">
        <v>253</v>
      </c>
      <c r="D140">
        <v>223</v>
      </c>
      <c r="E140">
        <v>30</v>
      </c>
      <c r="F140">
        <v>5</v>
      </c>
      <c r="G140">
        <v>4</v>
      </c>
      <c r="H140">
        <v>2</v>
      </c>
      <c r="I140">
        <v>55</v>
      </c>
      <c r="J140" s="5">
        <v>147</v>
      </c>
    </row>
    <row r="141" spans="1:10" x14ac:dyDescent="0.25">
      <c r="A141">
        <v>2024</v>
      </c>
      <c r="B141" t="s">
        <v>22</v>
      </c>
      <c r="C141">
        <v>257</v>
      </c>
      <c r="D141">
        <v>232</v>
      </c>
      <c r="E141">
        <v>25</v>
      </c>
      <c r="F141">
        <v>0</v>
      </c>
      <c r="G141">
        <v>7</v>
      </c>
      <c r="H141">
        <v>2</v>
      </c>
      <c r="I141">
        <v>57</v>
      </c>
      <c r="J141" s="5">
        <v>171</v>
      </c>
    </row>
    <row r="142" spans="1:10" x14ac:dyDescent="0.25">
      <c r="A142">
        <v>2024</v>
      </c>
      <c r="B142" t="s">
        <v>23</v>
      </c>
      <c r="C142">
        <v>360</v>
      </c>
      <c r="D142">
        <v>301</v>
      </c>
      <c r="E142">
        <v>59</v>
      </c>
      <c r="F142">
        <v>1</v>
      </c>
      <c r="G142">
        <v>11</v>
      </c>
      <c r="H142">
        <v>2</v>
      </c>
      <c r="I142">
        <v>40</v>
      </c>
      <c r="J142" s="5">
        <v>157</v>
      </c>
    </row>
    <row r="143" spans="1:10" x14ac:dyDescent="0.25">
      <c r="A143">
        <v>2024</v>
      </c>
      <c r="B143" t="s">
        <v>24</v>
      </c>
      <c r="C143">
        <v>310</v>
      </c>
      <c r="D143">
        <v>271</v>
      </c>
      <c r="E143">
        <v>39</v>
      </c>
      <c r="F143">
        <v>18</v>
      </c>
      <c r="G143">
        <v>2</v>
      </c>
      <c r="H143">
        <v>0</v>
      </c>
      <c r="I143">
        <v>43</v>
      </c>
      <c r="J143" s="5">
        <v>165</v>
      </c>
    </row>
    <row r="144" spans="1:10" x14ac:dyDescent="0.25">
      <c r="A144">
        <v>2024</v>
      </c>
      <c r="B144" t="s">
        <v>25</v>
      </c>
      <c r="C144">
        <v>414</v>
      </c>
      <c r="D144">
        <v>337</v>
      </c>
      <c r="E144">
        <v>77</v>
      </c>
      <c r="F144">
        <v>2</v>
      </c>
      <c r="G144">
        <v>11</v>
      </c>
      <c r="H144">
        <v>1</v>
      </c>
      <c r="I144">
        <v>34</v>
      </c>
      <c r="J144" s="5">
        <v>175</v>
      </c>
    </row>
    <row r="145" spans="1:14" x14ac:dyDescent="0.25">
      <c r="A145">
        <v>2024</v>
      </c>
      <c r="B145" t="s">
        <v>26</v>
      </c>
      <c r="C145">
        <v>4845</v>
      </c>
      <c r="D145">
        <v>4088</v>
      </c>
      <c r="E145">
        <v>757</v>
      </c>
      <c r="F145">
        <v>123</v>
      </c>
      <c r="G145">
        <v>122</v>
      </c>
      <c r="H145">
        <v>31</v>
      </c>
      <c r="I145">
        <v>711</v>
      </c>
      <c r="J145" s="8">
        <v>3134</v>
      </c>
    </row>
    <row r="146" spans="1:14" x14ac:dyDescent="0.25">
      <c r="J146" s="4"/>
    </row>
    <row r="147" spans="1:14" x14ac:dyDescent="0.25">
      <c r="C147">
        <v>2024</v>
      </c>
      <c r="D147" t="s">
        <v>27</v>
      </c>
      <c r="F147" s="2">
        <f>F145/$C$145</f>
        <v>2.5386996904024767E-2</v>
      </c>
      <c r="G147" s="2">
        <f t="shared" ref="G147" si="0">G145/$C$145</f>
        <v>2.5180598555211559E-2</v>
      </c>
      <c r="H147" s="2">
        <f>H145/$C$145</f>
        <v>6.3983488132094944E-3</v>
      </c>
      <c r="I147" s="2">
        <f>I145/$C$145</f>
        <v>0.14674922600619195</v>
      </c>
      <c r="J147" s="2">
        <f>J145/C145</f>
        <v>0.6468524251805986</v>
      </c>
      <c r="L147" s="2">
        <f>SUM(F147:H147)</f>
        <v>5.696594427244582E-2</v>
      </c>
      <c r="M147" s="2">
        <f>I147+L147</f>
        <v>0.20371517027863778</v>
      </c>
      <c r="N147" s="2">
        <f>M147+J147</f>
        <v>0.85056759545923644</v>
      </c>
    </row>
    <row r="148" spans="1:14" x14ac:dyDescent="0.25">
      <c r="C148">
        <v>2017</v>
      </c>
      <c r="F148" s="3">
        <f>F19/$C$19</f>
        <v>3.8665655799848368E-2</v>
      </c>
      <c r="G148" s="3">
        <f>G19/$C$19</f>
        <v>2.2554965883244883E-2</v>
      </c>
      <c r="H148" s="3">
        <f>H19/$C$19</f>
        <v>8.339651250947688E-3</v>
      </c>
      <c r="I148" s="3">
        <f t="shared" ref="I148:J148" si="1">I19/$C$19</f>
        <v>0.19408642911296436</v>
      </c>
      <c r="J148" s="3">
        <f>J19/C19</f>
        <v>0.44579226686884005</v>
      </c>
    </row>
    <row r="149" spans="1:14" x14ac:dyDescent="0.25">
      <c r="C149">
        <v>2021</v>
      </c>
      <c r="F149" s="3">
        <f>F91/$C$91</f>
        <v>3.2301480484522208E-2</v>
      </c>
      <c r="G149" s="3">
        <f t="shared" ref="G149:J149" si="2">G91/$C$91</f>
        <v>2.4226110363391656E-2</v>
      </c>
      <c r="H149" s="3">
        <f t="shared" si="2"/>
        <v>8.2676408383003264E-3</v>
      </c>
      <c r="I149" s="3">
        <f t="shared" si="2"/>
        <v>0.15247067871563161</v>
      </c>
      <c r="J149" s="3">
        <f>J91/$C$91</f>
        <v>0.5566237262064988</v>
      </c>
    </row>
  </sheetData>
  <conditionalFormatting sqref="F147:J147">
    <cfRule type="cellIs" dxfId="1" priority="1" operator="greaterThan">
      <formula>10%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6DC81B-5931-4769-8337-3CAEE4CF21C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pawel firago</dc:creator>
  <cp:lastModifiedBy>pawel firago</cp:lastModifiedBy>
  <dcterms:created xsi:type="dcterms:W3CDTF">2025-12-09T17:09:47Z</dcterms:created>
  <dcterms:modified xsi:type="dcterms:W3CDTF">2025-12-26T12:52:38Z</dcterms:modified>
</cp:coreProperties>
</file>